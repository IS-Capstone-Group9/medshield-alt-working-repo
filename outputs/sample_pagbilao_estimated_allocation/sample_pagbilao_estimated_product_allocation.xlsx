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f7f68cc9a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al Allocation" sheetId="1" r:id="R0ae80618a55e48c4"/>
    <x:sheet xmlns:r="http://schemas.openxmlformats.org/officeDocument/2006/relationships" name="Original Parent" sheetId="2" r:id="R47dd9f9724434976"/>
    <x:sheet xmlns:r="http://schemas.openxmlformats.org/officeDocument/2006/relationships" name="Product Evidence" sheetId="3" r:id="R57808577db99466c"/>
    <x:sheet xmlns:r="http://schemas.openxmlformats.org/officeDocument/2006/relationships" name="Reconciliation" sheetId="4" r:id="R5891cd202616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₱#,##0.00"/>
    <x:numFmt numFmtId="201" formatCode="yyyy-mm-dd"/>
    <x:numFmt numFmtId="202" formatCode="#,##0"/>
    <x:numFmt numFmtId="203" formatCode="0.00%"/>
    <x:numFmt numFmtId="204" formatCode="#,##0.00"/>
    <x:numFmt numFmtId="205" formatCode="0.0000%"/>
    <x:numFmt numFmtId="206" formatCode="0.000000"/>
  </x:numFmts>
  <x:fonts count="9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b/>
      <x:sz val="10"/>
      <x:color rgb="FF9C0006"/>
      <x:name val="Arial"/>
    </x:font>
    <x:font>
      <x:b/>
      <x:sz val="10"/>
      <x:color rgb="FF17365D"/>
      <x:name val="Arial"/>
    </x:font>
    <x:font>
      <x:i/>
      <x:sz val="10"/>
      <x:color rgb="FF595959"/>
      <x:name val="Arial"/>
    </x:font>
    <x:font>
      <x:i/>
      <x:sz val="9"/>
      <x:color rgb="FF666666"/>
      <x:name val="Arial"/>
    </x:font>
    <x:font>
      <x:b/>
      <x:sz val="10"/>
      <x:color rgb="FF7F600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CE8E6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04876b07e4889" /><Relationship Type="http://schemas.openxmlformats.org/officeDocument/2006/relationships/theme" Target="/xl/theme/theme1.xml" Id="R056bc3f062c349e0" /><Relationship Type="http://schemas.microsoft.com/office/2022/11/relationships/FeaturePropertyBag" Target="/xl/featurePropertyBag/featurePropertyBag.xml" Id="R0b9fc4f629b84a2e" /><Relationship Type="http://schemas.openxmlformats.org/officeDocument/2006/relationships/sharedStrings" Target="/xl/sharedStrings.xml" Id="Rc65677d9f71a46bf" /><Relationship Type="http://schemas.openxmlformats.org/officeDocument/2006/relationships/worksheet" Target="/xl/worksheets/sheet1.xml" Id="R0ae80618a55e48c4" /><Relationship Type="http://schemas.openxmlformats.org/officeDocument/2006/relationships/worksheet" Target="/xl/worksheets/sheet2.xml" Id="R47dd9f9724434976" /><Relationship Type="http://schemas.openxmlformats.org/officeDocument/2006/relationships/worksheet" Target="/xl/worksheets/sheet3.xml" Id="R57808577db99466c" /><Relationship Type="http://schemas.openxmlformats.org/officeDocument/2006/relationships/worksheet" Target="/xl/worksheets/sheet4.xml" Id="R5891cd2026164e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dicalAllocationTable" displayName="MedicalAllocationTable" ref="A8:AE20" headerRowCount="1" totalsRowCount="0" totalsRowShown="0">
  <x:tableColumns count="31">
    <x:tableColumn id="1" name="allocation_line_id"/>
    <x:tableColumn id="2" name="parent_record_id"/>
    <x:tableColumn id="3" name="source_year"/>
    <x:tableColumn id="4" name="source_row_number"/>
    <x:tableColumn id="5" name="dr_number"/>
    <x:tableColumn id="6" name="date_delivered"/>
    <x:tableColumn id="7" name="customer"/>
    <x:tableColumn id="8" name="original_product_label"/>
    <x:tableColumn id="9" name="allocated_medical_product"/>
    <x:tableColumn id="10" name="product_class"/>
    <x:tableColumn id="11" name="product_category"/>
    <x:tableColumn id="12" name="product_exists_in_dataset"/>
    <x:tableColumn id="13" name="government_channel_evidence"/>
    <x:tableColumn id="14" name="classification_confidence"/>
    <x:tableColumn id="15" name="canonical_sku"/>
    <x:tableColumn id="16" name="sku_mapping_status"/>
    <x:tableColumn id="17" name="estimated_quantity"/>
    <x:tableColumn id="18" name="quantity_unit"/>
    <x:tableColumn id="19" name="historical_avg_unit_net"/>
    <x:tableColumn id="20" name="estimated_contract_unit_net"/>
    <x:tableColumn id="21" name="estimated_net_sales"/>
    <x:tableColumn id="22" name="historical_avg_unit_cost"/>
    <x:tableColumn id="23" name="estimated_contract_unit_cost"/>
    <x:tableColumn id="24" name="estimated_acquisition_cost"/>
    <x:tableColumn id="25" name="estimated_gross_profit"/>
    <x:tableColumn id="26" name="allocation_share"/>
    <x:tableColumn id="27" name="allocation_method"/>
    <x:tableColumn id="28" name="pagbilao_line_verified"/>
    <x:tableColumn id="29" name="record_status"/>
    <x:tableColumn id="30" name="evidence_id"/>
    <x:tableColumn id="3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ParentTable" displayName="OriginalParentTable" ref="A7:N8" headerRowCount="1" totalsRowCount="0" totalsRowShown="0">
  <x:tableColumns count="14">
    <x:tableColumn id="1" name="parent_record_id"/>
    <x:tableColumn id="2" name="source_file"/>
    <x:tableColumn id="3" name="source_year"/>
    <x:tableColumn id="4" name="source_row_number"/>
    <x:tableColumn id="5" name="area"/>
    <x:tableColumn id="6" name="dr_number"/>
    <x:tableColumn id="7" name="date_delivered"/>
    <x:tableColumn id="8" name="original_product_label"/>
    <x:tableColumn id="9" name="source_quantity"/>
    <x:tableColumn id="10" name="embedded_label_amount"/>
    <x:tableColumn id="11" name="parent_net_sales"/>
    <x:tableColumn id="12" name="parent_acquisition_cost"/>
    <x:tableColumn id="13" name="parent_gross_profit"/>
    <x:tableColumn id="14" name="source_record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EvidenceTable" displayName="ProductEvidenceTable" ref="A7:O19" headerRowCount="1" totalsRowCount="0" totalsRowShown="0">
  <x:tableColumns count="15">
    <x:tableColumn id="1" name="evidence_id"/>
    <x:tableColumn id="2" name="source_product_name"/>
    <x:tableColumn id="3" name="product_class"/>
    <x:tableColumn id="4" name="product_category"/>
    <x:tableColumn id="5" name="government_occurrences"/>
    <x:tableColumn id="6" name="first_year"/>
    <x:tableColumn id="7" name="last_year"/>
    <x:tableColumn id="8" name="observed_quantity"/>
    <x:tableColumn id="9" name="observed_net_sales"/>
    <x:tableColumn id="10" name="observed_acquisition_cost"/>
    <x:tableColumn id="11" name="historical_avg_unit_net"/>
    <x:tableColumn id="12" name="historical_avg_unit_cost"/>
    <x:tableColumn id="13" name="classification_confidence"/>
    <x:tableColumn id="14" name="classification_rule"/>
    <x:tableColumn id="15" name="exact_source_csv_li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onciliationTable" displayName="ReconciliationTable" ref="A6:E9" headerRowCount="1" totalsRowCount="0" totalsRowShown="0">
  <x:tableColumns count="5">
    <x:tableColumn id="1" name="metric"/>
    <x:tableColumn id="2" name="parent_value"/>
    <x:tableColumn id="3" name="estimated_children"/>
    <x:tableColumn id="4" name="delta"/>
    <x:tableColumn id="5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b1ce57a6534e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e832dbda5b40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f847175a2740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8c7ac86fa0474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23" hidden="0" customWidth="1"/>
    <x:col min="8" max="8" width="23" hidden="0" customWidth="1"/>
    <x:col min="9" max="9" width="4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5" hidden="0" customWidth="1"/>
    <x:col min="16" max="16" width="25" hidden="0" customWidth="1"/>
    <x:col min="17" max="17" width="16" hidden="0" customWidth="1"/>
    <x:col min="18" max="18" width="16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>
      <x:c r="A2" s="3" t="str">
        <x:v>Pagbilao estimated allocation using actual MedShield medical products</x:v>
      </x:c>
      <x:c r="B2" s="2" t="str">
        <x:v>Pagbilao estimated allocation using actual MedShield medical products</x:v>
      </x:c>
      <x:c r="C2" s="2" t="str">
        <x:v>Pagbilao estimated allocation using actual MedShield medical products</x:v>
      </x:c>
      <x:c r="D2" s="2" t="str">
        <x:v>Pagbilao estimated allocation using actual MedShield medical products</x:v>
      </x:c>
      <x:c r="E2" s="2" t="str">
        <x:v>Pagbilao estimated allocation using actual MedShield medical products</x:v>
      </x:c>
      <x:c r="F2" s="2" t="str">
        <x:v>Pagbilao estimated allocation using actual MedShield medical products</x:v>
      </x:c>
      <x:c r="G2" s="2" t="str">
        <x:v>Pagbilao estimated allocation using actual MedShield medical products</x:v>
      </x:c>
      <x:c r="H2" s="2" t="str">
        <x:v>Pagbilao estimated allocation using actual MedShield medical products</x:v>
      </x:c>
      <x:c r="I2" s="2" t="str">
        <x:v>Pagbilao estimated allocation using actual MedShield medical products</x:v>
      </x:c>
      <x:c r="J2" s="2" t="str">
        <x:v>Pagbilao estimated allocation using actual MedShield medical products</x:v>
      </x:c>
      <x:c r="K2" s="2" t="str">
        <x:v>Pagbilao estimated allocation using actual MedShield medical products</x:v>
      </x:c>
      <x:c r="L2" s="2" t="str">
        <x:v>Pagbilao estimated allocation using actual MedShield medical products</x:v>
      </x:c>
      <x:c r="M2" s="2" t="str">
        <x:v>Pagbilao estimated allocation using actual MedShield medical products</x:v>
      </x:c>
      <x:c r="N2" s="2" t="str">
        <x:v>Pagbilao estimated allocation using actual MedShield medical products</x:v>
      </x:c>
      <x:c r="O2" s="2" t="str">
        <x:v>Pagbilao estimated allocation using actual MedShield medical products</x:v>
      </x:c>
      <x:c r="P2" s="2" t="str">
        <x:v>Pagbilao estimated allocation using actual MedShield medical products</x:v>
      </x:c>
      <x:c r="Q2" s="2" t="str">
        <x:v>Pagbilao estimated allocation using actual MedShield medical products</x:v>
      </x:c>
      <x:c r="R2" s="2" t="str">
        <x:v>Pagbilao estimated allocation using actual MedShield medical products</x:v>
      </x:c>
      <x:c r="S2" s="2" t="str">
        <x:v>Pagbilao estimated allocation using actual MedShield medical products</x:v>
      </x:c>
      <x:c r="T2" s="2" t="str">
        <x:v>Pagbilao estimated allocation using actual MedShield medical products</x:v>
      </x:c>
      <x:c r="U2" s="2" t="str">
        <x:v>Pagbilao estimated allocation using actual MedShield medical products</x:v>
      </x:c>
      <x:c r="V2" s="2" t="str">
        <x:v>Pagbilao estimated allocation using actual MedShield medical products</x:v>
      </x:c>
      <x:c r="W2" s="2" t="str">
        <x:v>Pagbilao estimated allocation using actual MedShield medical products</x:v>
      </x:c>
      <x:c r="X2" s="2" t="str">
        <x:v>Pagbilao estimated allocation using actual MedShield medical products</x:v>
      </x:c>
      <x:c r="Y2" s="2" t="str">
        <x:v>Pagbilao estimated allocation using actual MedShield medical products</x:v>
      </x:c>
      <x:c r="Z2" s="2" t="str">
        <x:v>Pagbilao estimated allocation using actual MedShield medical products</x:v>
      </x:c>
      <x:c r="AA2" s="2" t="str">
        <x:v>Pagbilao estimated allocation using actual MedShield medical products</x:v>
      </x:c>
      <x:c r="AB2" s="2" t="str">
        <x:v>Pagbilao estimated allocation using actual MedShield medical products</x:v>
      </x:c>
      <x:c r="AC2" s="2" t="str">
        <x:v>Pagbilao estimated allocation using actual MedShield medical products</x:v>
      </x:c>
      <x:c r="AD2" s="2" t="str">
        <x:v>Pagbilao estimated allocation using actual MedShield medical products</x:v>
      </x:c>
      <x:c r="AE2" s="2" t="str">
        <x:v>Pagbilao estimated allocation using actual MedShield medical products</x:v>
      </x:c>
    </x:row>
    <x:row r="3">
      <x:c r="A3" s="4" t="str">
        <x:v>Every allocated product name exists in the MedShield Government-channel data. The Pagbilao product composition and quantities are estimated because DR RT 0002016 has no itemized source lines.</x:v>
      </x:c>
      <x:c r="B3" s="2" t="str">
        <x:v>Every allocated product name exists in the MedShield Government-channel data. The Pagbilao product composition and quantities are estimated because DR RT 0002016 has no itemized source lines.</x:v>
      </x:c>
      <x:c r="C3" s="2" t="str">
        <x:v>Every allocated product name exists in the MedShield Government-channel data. The Pagbilao product composition and quantities are estimated because DR RT 0002016 has no itemized source lines.</x:v>
      </x:c>
      <x:c r="D3" s="2" t="str">
        <x:v>Every allocated product name exists in the MedShield Government-channel data. The Pagbilao product composition and quantities are estimated because DR RT 0002016 has no itemized source lines.</x:v>
      </x:c>
      <x:c r="E3" s="2" t="str">
        <x:v>Every allocated product name exists in the MedShield Government-channel data. The Pagbilao product composition and quantities are estimated because DR RT 0002016 has no itemized source lines.</x:v>
      </x:c>
      <x:c r="F3" s="2" t="str">
        <x:v>Every allocated product name exists in the MedShield Government-channel data. The Pagbilao product composition and quantities are estimated because DR RT 0002016 has no itemized source lines.</x:v>
      </x:c>
      <x:c r="G3" s="2" t="str">
        <x:v>Every allocated product name exists in the MedShield Government-channel data. The Pagbilao product composition and quantities are estimated because DR RT 0002016 has no itemized source lines.</x:v>
      </x:c>
      <x:c r="H3" s="2" t="str">
        <x:v>Every allocated product name exists in the MedShield Government-channel data. The Pagbilao product composition and quantities are estimated because DR RT 0002016 has no itemized source lines.</x:v>
      </x:c>
      <x:c r="I3" s="2" t="str">
        <x:v>Every allocated product name exists in the MedShield Government-channel data. The Pagbilao product composition and quantities are estimated because DR RT 0002016 has no itemized source lines.</x:v>
      </x:c>
      <x:c r="J3" s="2" t="str">
        <x:v>Every allocated product name exists in the MedShield Government-channel data. The Pagbilao product composition and quantities are estimated because DR RT 0002016 has no itemized source lines.</x:v>
      </x:c>
      <x:c r="K3" s="2" t="str">
        <x:v>Every allocated product name exists in the MedShield Government-channel data. The Pagbilao product composition and quantities are estimated because DR RT 0002016 has no itemized source lines.</x:v>
      </x:c>
      <x:c r="L3" s="2" t="str">
        <x:v>Every allocated product name exists in the MedShield Government-channel data. The Pagbilao product composition and quantities are estimated because DR RT 0002016 has no itemized source lines.</x:v>
      </x:c>
      <x:c r="M3" s="2" t="str">
        <x:v>Every allocated product name exists in the MedShield Government-channel data. The Pagbilao product composition and quantities are estimated because DR RT 0002016 has no itemized source lines.</x:v>
      </x:c>
      <x:c r="N3" s="2" t="str">
        <x:v>Every allocated product name exists in the MedShield Government-channel data. The Pagbilao product composition and quantities are estimated because DR RT 0002016 has no itemized source lines.</x:v>
      </x:c>
      <x:c r="O3" s="2" t="str">
        <x:v>Every allocated product name exists in the MedShield Government-channel data. The Pagbilao product composition and quantities are estimated because DR RT 0002016 has no itemized source lines.</x:v>
      </x:c>
      <x:c r="P3" s="2" t="str">
        <x:v>Every allocated product name exists in the MedShield Government-channel data. The Pagbilao product composition and quantities are estimated because DR RT 0002016 has no itemized source lines.</x:v>
      </x:c>
      <x:c r="Q3" s="2" t="str">
        <x:v>Every allocated product name exists in the MedShield Government-channel data. The Pagbilao product composition and quantities are estimated because DR RT 0002016 has no itemized source lines.</x:v>
      </x:c>
      <x:c r="R3" s="2" t="str">
        <x:v>Every allocated product name exists in the MedShield Government-channel data. The Pagbilao product composition and quantities are estimated because DR RT 0002016 has no itemized source lines.</x:v>
      </x:c>
      <x:c r="S3" s="2" t="str">
        <x:v>Every allocated product name exists in the MedShield Government-channel data. The Pagbilao product composition and quantities are estimated because DR RT 0002016 has no itemized source lines.</x:v>
      </x:c>
      <x:c r="T3" s="2" t="str">
        <x:v>Every allocated product name exists in the MedShield Government-channel data. The Pagbilao product composition and quantities are estimated because DR RT 0002016 has no itemized source lines.</x:v>
      </x:c>
      <x:c r="U3" s="2" t="str">
        <x:v>Every allocated product name exists in the MedShield Government-channel data. The Pagbilao product composition and quantities are estimated because DR RT 0002016 has no itemized source lines.</x:v>
      </x:c>
      <x:c r="V3" s="2" t="str">
        <x:v>Every allocated product name exists in the MedShield Government-channel data. The Pagbilao product composition and quantities are estimated because DR RT 0002016 has no itemized source lines.</x:v>
      </x:c>
      <x:c r="W3" s="2" t="str">
        <x:v>Every allocated product name exists in the MedShield Government-channel data. The Pagbilao product composition and quantities are estimated because DR RT 0002016 has no itemized source lines.</x:v>
      </x:c>
      <x:c r="X3" s="2" t="str">
        <x:v>Every allocated product name exists in the MedShield Government-channel data. The Pagbilao product composition and quantities are estimated because DR RT 0002016 has no itemized source lines.</x:v>
      </x:c>
      <x:c r="Y3" s="2" t="str">
        <x:v>Every allocated product name exists in the MedShield Government-channel data. The Pagbilao product composition and quantities are estimated because DR RT 0002016 has no itemized source lines.</x:v>
      </x:c>
      <x:c r="Z3" s="2" t="str">
        <x:v>Every allocated product name exists in the MedShield Government-channel data. The Pagbilao product composition and quantities are estimated because DR RT 0002016 has no itemized source lines.</x:v>
      </x:c>
      <x:c r="AA3" s="2" t="str">
        <x:v>Every allocated product name exists in the MedShield Government-channel data. The Pagbilao product composition and quantities are estimated because DR RT 0002016 has no itemized source lines.</x:v>
      </x:c>
      <x:c r="AB3" s="2" t="str">
        <x:v>Every allocated product name exists in the MedShield Government-channel data. The Pagbilao product composition and quantities are estimated because DR RT 0002016 has no itemized source lines.</x:v>
      </x:c>
      <x:c r="AC3" s="2" t="str">
        <x:v>Every allocated product name exists in the MedShield Government-channel data. The Pagbilao product composition and quantities are estimated because DR RT 0002016 has no itemized source lines.</x:v>
      </x:c>
      <x:c r="AD3" s="2" t="str">
        <x:v>Every allocated product name exists in the MedShield Government-channel data. The Pagbilao product composition and quantities are estimated because DR RT 0002016 has no itemized source lines.</x:v>
      </x:c>
      <x:c r="AE3" s="2" t="str">
        <x:v>Every allocated product name exists in the MedShield Government-channel data. The Pagbilao product composition and quantities are estimated because DR RT 0002016 has no itemized source lines.</x:v>
      </x:c>
    </x:row>
    <x:row r="4">
      <x:c r="A4" s="5" t="str">
        <x:v>Parent record</x:v>
      </x:c>
      <x:c r="B4" s="2" t="str">
        <x:v>SRC-2025-0234</x:v>
      </x:c>
      <x:c r="C4" s="2"/>
      <x:c r="D4" s="2" t="str">
        <x:v>Parent net sales</x:v>
      </x:c>
      <x:c r="E4" s="6" t="n">
        <x:v>11567580</x:v>
      </x:c>
      <x:c r="F4" s="2"/>
      <x:c r="G4" s="2" t="str">
        <x:v>Pagbilao line items verified</x:v>
      </x:c>
      <x:c r="H4" s="8" t="str">
        <x:v>No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A5" s="5" t="str">
        <x:v>Original label</x:v>
      </x:c>
      <x:c r="B5" s="2" t="str">
        <x:v>PAGBILAO # 13,500,000</x:v>
      </x:c>
      <x:c r="C5" s="2"/>
      <x:c r="D5" s="2" t="str">
        <x:v>Allocated products</x:v>
      </x:c>
      <x:c r="E5" s="2" t="n">
        <x:v>12</x:v>
      </x:c>
      <x:c r="F5" s="2"/>
      <x:c r="G5" s="2" t="str">
        <x:v>Product scope</x:v>
      </x:c>
      <x:c r="H5" s="2" t="str">
        <x:v>8 medicines + 4 medical supplies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A6" s="5" t="str">
        <x:v>DR / delivery date</x:v>
      </x:c>
      <x:c r="B6" s="2" t="str">
        <x:v>DR RT 0002016 / 2025-01-23</x:v>
      </x:c>
      <x:c r="C6" s="2"/>
      <x:c r="D6" s="2" t="str">
        <x:v>Product identities</x:v>
      </x:c>
      <x:c r="E6" s="2" t="str">
        <x:v>Observed in source data</x:v>
      </x:c>
      <x:c r="F6" s="2"/>
      <x:c r="G6" s="2" t="str">
        <x:v>Allocation basis</x:v>
      </x:c>
      <x:c r="H6" s="2" t="str">
        <x:v>Government medical basket, 2022–2024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34" customHeight="1">
      <x:c r="A8" s="25" t="str">
        <x:v>allocation_line_id</x:v>
      </x:c>
      <x:c r="B8" s="25" t="str">
        <x:v>parent_record_id</x:v>
      </x:c>
      <x:c r="C8" s="25" t="str">
        <x:v>source_year</x:v>
      </x:c>
      <x:c r="D8" s="25" t="str">
        <x:v>source_row_number</x:v>
      </x:c>
      <x:c r="E8" s="25" t="str">
        <x:v>dr_number</x:v>
      </x:c>
      <x:c r="F8" s="25" t="str">
        <x:v>date_delivered</x:v>
      </x:c>
      <x:c r="G8" s="25" t="str">
        <x:v>customer</x:v>
      </x:c>
      <x:c r="H8" s="25" t="str">
        <x:v>original_product_label</x:v>
      </x:c>
      <x:c r="I8" s="25" t="str">
        <x:v>allocated_medical_product</x:v>
      </x:c>
      <x:c r="J8" s="25" t="str">
        <x:v>product_class</x:v>
      </x:c>
      <x:c r="K8" s="25" t="str">
        <x:v>product_category</x:v>
      </x:c>
      <x:c r="L8" s="25" t="str">
        <x:v>product_exists_in_dataset</x:v>
      </x:c>
      <x:c r="M8" s="25" t="str">
        <x:v>government_channel_evidence</x:v>
      </x:c>
      <x:c r="N8" s="25" t="str">
        <x:v>classification_confidence</x:v>
      </x:c>
      <x:c r="O8" s="25" t="str">
        <x:v>canonical_sku</x:v>
      </x:c>
      <x:c r="P8" s="25" t="str">
        <x:v>sku_mapping_status</x:v>
      </x:c>
      <x:c r="Q8" s="25" t="str">
        <x:v>estimated_quantity</x:v>
      </x:c>
      <x:c r="R8" s="25" t="str">
        <x:v>quantity_unit</x:v>
      </x:c>
      <x:c r="S8" s="25" t="str">
        <x:v>historical_avg_unit_net</x:v>
      </x:c>
      <x:c r="T8" s="25" t="str">
        <x:v>estimated_contract_unit_net</x:v>
      </x:c>
      <x:c r="U8" s="25" t="str">
        <x:v>estimated_net_sales</x:v>
      </x:c>
      <x:c r="V8" s="25" t="str">
        <x:v>historical_avg_unit_cost</x:v>
      </x:c>
      <x:c r="W8" s="25" t="str">
        <x:v>estimated_contract_unit_cost</x:v>
      </x:c>
      <x:c r="X8" s="25" t="str">
        <x:v>estimated_acquisition_cost</x:v>
      </x:c>
      <x:c r="Y8" s="25" t="str">
        <x:v>estimated_gross_profit</x:v>
      </x:c>
      <x:c r="Z8" s="25" t="str">
        <x:v>allocation_share</x:v>
      </x:c>
      <x:c r="AA8" s="25" t="str">
        <x:v>allocation_method</x:v>
      </x:c>
      <x:c r="AB8" s="25" t="str">
        <x:v>pagbilao_line_verified</x:v>
      </x:c>
      <x:c r="AC8" s="25" t="str">
        <x:v>record_status</x:v>
      </x:c>
      <x:c r="AD8" s="25" t="str">
        <x:v>evidence_id</x:v>
      </x:c>
      <x:c r="AE8" s="25" t="str">
        <x:v>notes</x:v>
      </x:c>
    </x:row>
    <x:row r="9" ht="34" customHeight="1">
      <x:c r="A9" s="2" t="str">
        <x:v>EST-MED-SRC-2025-0234-01</x:v>
      </x:c>
      <x:c r="B9" s="2" t="str">
        <x:v>SRC-2025-0234</x:v>
      </x:c>
      <x:c r="C9" s="2" t="n">
        <x:v>2025</x:v>
      </x:c>
      <x:c r="D9" s="2" t="n">
        <x:v>234</x:v>
      </x:c>
      <x:c r="E9" s="2" t="str">
        <x:v>DR RT 0002016</x:v>
      </x:c>
      <x:c r="F9" s="10" t="n">
        <x:v>45680</x:v>
      </x:c>
      <x:c r="G9" s="2" t="str">
        <x:v>Pagbilao</x:v>
      </x:c>
      <x:c r="H9" s="2" t="str">
        <x:v>PAGBILAO # 13,500,000</x:v>
      </x:c>
      <x:c r="I9" s="2" t="str">
        <x:v>SITIXON 1G</x:v>
      </x:c>
      <x:c r="J9" s="2" t="str">
        <x:v>medicine</x:v>
      </x:c>
      <x:c r="K9" s="2" t="str">
        <x:v>pharmaceutical_medicine_candidate</x:v>
      </x:c>
      <x:c r="L9" s="9" t="b">
        <x:v>1</x:v>
      </x:c>
      <x:c r="M9" s="9" t="b">
        <x:v>1</x:v>
      </x:c>
      <x:c r="N9" s="2" t="str">
        <x:v>medium</x:v>
      </x:c>
      <x:c r="O9" s="13" t="str"/>
      <x:c r="P9" s="13" t="str">
        <x:v>needs_product_master_review</x:v>
      </x:c>
      <x:c r="Q9" s="11" t="n">
        <x:v>9317</x:v>
      </x:c>
      <x:c r="R9" s="2" t="str">
        <x:v>units</x:v>
      </x:c>
      <x:c r="S9" s="6" t="n">
        <x:v>239.42</x:v>
      </x:c>
      <x:c r="T9" s="6" t="n">
        <x:f>ROUND(U9/Q9,2)</x:f>
        <x:v>239.42</x:v>
      </x:c>
      <x:c r="U9" s="6" t="n">
        <x:v>2230643.34</x:v>
      </x:c>
      <x:c r="V9" s="6" t="n">
        <x:v>36</x:v>
      </x:c>
      <x:c r="W9" s="6" t="n">
        <x:f>ROUND(X9/Q9,2)</x:f>
        <x:v>36</x:v>
      </x:c>
      <x:c r="X9" s="6" t="n">
        <x:v>335408.24</x:v>
      </x:c>
      <x:c r="Y9" s="6" t="n">
        <x:f>ROUND(U9-X9,2)</x:f>
        <x:v>1895235.1</x:v>
      </x:c>
      <x:c r="Z9" s="12" t="n">
        <x:f>U9/'Original Parent'!$K$8</x:f>
        <x:v>0.19283578241948618</x:v>
      </x:c>
      <x:c r="AA9" s="2" t="str">
        <x:v>scaled_government_medical_basket_2022_2024</x:v>
      </x:c>
      <x:c r="AB9" s="14" t="b">
        <x:v>0</x:v>
      </x:c>
      <x:c r="AC9" s="7" t="str">
        <x:v>estimated_pagbilao_medical_allocation</x:v>
      </x:c>
      <x:c r="AD9" s="2" t="str">
        <x:v>EVID-01</x:v>
      </x:c>
      <x:c r="AE9" s="2" t="str">
        <x:v>Exact historical MedShield product identity; Pagbilao assignment is an estimate.</x:v>
      </x:c>
    </x:row>
    <x:row r="10" ht="34" customHeight="1">
      <x:c r="A10" s="2" t="str">
        <x:v>EST-MED-SRC-2025-0234-02</x:v>
      </x:c>
      <x:c r="B10" s="2" t="str">
        <x:v>SRC-2025-0234</x:v>
      </x:c>
      <x:c r="C10" s="2" t="n">
        <x:v>2025</x:v>
      </x:c>
      <x:c r="D10" s="2" t="n">
        <x:v>234</x:v>
      </x:c>
      <x:c r="E10" s="2" t="str">
        <x:v>DR RT 0002016</x:v>
      </x:c>
      <x:c r="F10" s="10" t="n">
        <x:v>45680</x:v>
      </x:c>
      <x:c r="G10" s="2" t="str">
        <x:v>Pagbilao</x:v>
      </x:c>
      <x:c r="H10" s="2" t="str">
        <x:v>PAGBILAO # 13,500,000</x:v>
      </x:c>
      <x:c r="I10" s="2" t="str">
        <x:v>PPE COVER ALL SET</x:v>
      </x:c>
      <x:c r="J10" s="2" t="str">
        <x:v>medical_supply</x:v>
      </x:c>
      <x:c r="K10" s="2" t="str">
        <x:v>medical_consumable</x:v>
      </x:c>
      <x:c r="L10" s="9" t="b">
        <x:v>1</x:v>
      </x:c>
      <x:c r="M10" s="9" t="b">
        <x:v>1</x:v>
      </x:c>
      <x:c r="N10" s="2" t="str">
        <x:v>high</x:v>
      </x:c>
      <x:c r="O10" s="13" t="str"/>
      <x:c r="P10" s="13" t="str">
        <x:v>needs_product_master_review</x:v>
      </x:c>
      <x:c r="Q10" s="11" t="n">
        <x:v>1396</x:v>
      </x:c>
      <x:c r="R10" s="2" t="str">
        <x:v>units</x:v>
      </x:c>
      <x:c r="S10" s="6" t="n">
        <x:v>1247.66</x:v>
      </x:c>
      <x:c r="T10" s="6" t="n">
        <x:f>ROUND(U10/Q10,2)</x:f>
        <x:v>1247.55</x:v>
      </x:c>
      <x:c r="U10" s="6" t="n">
        <x:v>1741584.05</x:v>
      </x:c>
      <x:c r="V10" s="6" t="n">
        <x:v>210</x:v>
      </x:c>
      <x:c r="W10" s="6" t="n">
        <x:f>ROUND(X10/Q10,2)</x:f>
        <x:v>209.98</x:v>
      </x:c>
      <x:c r="X10" s="6" t="n">
        <x:v>293134.42</x:v>
      </x:c>
      <x:c r="Y10" s="6" t="n">
        <x:f>ROUND(U10-X10,2)</x:f>
        <x:v>1448449.63</x:v>
      </x:c>
      <x:c r="Z10" s="12" t="n">
        <x:f>U10/'Original Parent'!$K$8</x:f>
        <x:v>0.1505573378355715</x:v>
      </x:c>
      <x:c r="AA10" s="2" t="str">
        <x:v>scaled_government_medical_basket_2022_2024</x:v>
      </x:c>
      <x:c r="AB10" s="14" t="b">
        <x:v>0</x:v>
      </x:c>
      <x:c r="AC10" s="7" t="str">
        <x:v>estimated_pagbilao_medical_allocation</x:v>
      </x:c>
      <x:c r="AD10" s="2" t="str">
        <x:v>EVID-02</x:v>
      </x:c>
      <x:c r="AE10" s="2" t="str">
        <x:v>Exact historical MedShield product identity; Pagbilao assignment is an estimate.</x:v>
      </x:c>
    </x:row>
    <x:row r="11" ht="34" customHeight="1">
      <x:c r="A11" s="2" t="str">
        <x:v>EST-MED-SRC-2025-0234-03</x:v>
      </x:c>
      <x:c r="B11" s="2" t="str">
        <x:v>SRC-2025-0234</x:v>
      </x:c>
      <x:c r="C11" s="2" t="n">
        <x:v>2025</x:v>
      </x:c>
      <x:c r="D11" s="2" t="n">
        <x:v>234</x:v>
      </x:c>
      <x:c r="E11" s="2" t="str">
        <x:v>DR RT 0002016</x:v>
      </x:c>
      <x:c r="F11" s="10" t="n">
        <x:v>45680</x:v>
      </x:c>
      <x:c r="G11" s="2" t="str">
        <x:v>Pagbilao</x:v>
      </x:c>
      <x:c r="H11" s="2" t="str">
        <x:v>PAGBILAO # 13,500,000</x:v>
      </x:c>
      <x:c r="I11" s="2" t="str">
        <x:v>ISOLATION GOWN</x:v>
      </x:c>
      <x:c r="J11" s="2" t="str">
        <x:v>medical_supply</x:v>
      </x:c>
      <x:c r="K11" s="2" t="str">
        <x:v>medical_consumable</x:v>
      </x:c>
      <x:c r="L11" s="9" t="b">
        <x:v>1</x:v>
      </x:c>
      <x:c r="M11" s="9" t="b">
        <x:v>1</x:v>
      </x:c>
      <x:c r="N11" s="2" t="str">
        <x:v>high</x:v>
      </x:c>
      <x:c r="O11" s="13" t="str"/>
      <x:c r="P11" s="13" t="str">
        <x:v>needs_product_master_review</x:v>
      </x:c>
      <x:c r="Q11" s="11" t="n">
        <x:v>2188</x:v>
      </x:c>
      <x:c r="R11" s="2" t="str">
        <x:v>units</x:v>
      </x:c>
      <x:c r="S11" s="6" t="n">
        <x:v>677.19</x:v>
      </x:c>
      <x:c r="T11" s="6" t="n">
        <x:f>ROUND(U11/Q11,2)</x:f>
        <x:v>677.33</x:v>
      </x:c>
      <x:c r="U11" s="6" t="n">
        <x:v>1482008.01</x:v>
      </x:c>
      <x:c r="V11" s="6" t="n">
        <x:v>130</x:v>
      </x:c>
      <x:c r="W11" s="6" t="n">
        <x:f>ROUND(X11/Q11,2)</x:f>
        <x:v>130.03</x:v>
      </x:c>
      <x:c r="X11" s="6" t="n">
        <x:v>284498.9</x:v>
      </x:c>
      <x:c r="Y11" s="6" t="n">
        <x:f>ROUND(U11-X11,2)</x:f>
        <x:v>1197509.11</x:v>
      </x:c>
      <x:c r="Z11" s="12" t="n">
        <x:f>U11/'Original Parent'!$K$8</x:f>
        <x:v>0.12811737718693106</x:v>
      </x:c>
      <x:c r="AA11" s="2" t="str">
        <x:v>scaled_government_medical_basket_2022_2024</x:v>
      </x:c>
      <x:c r="AB11" s="14" t="b">
        <x:v>0</x:v>
      </x:c>
      <x:c r="AC11" s="7" t="str">
        <x:v>estimated_pagbilao_medical_allocation</x:v>
      </x:c>
      <x:c r="AD11" s="2" t="str">
        <x:v>EVID-03</x:v>
      </x:c>
      <x:c r="AE11" s="2" t="str">
        <x:v>Exact historical MedShield product identity; Pagbilao assignment is an estimate.</x:v>
      </x:c>
    </x:row>
    <x:row r="12" ht="34" customHeight="1">
      <x:c r="A12" s="2" t="str">
        <x:v>EST-MED-SRC-2025-0234-04</x:v>
      </x:c>
      <x:c r="B12" s="2" t="str">
        <x:v>SRC-2025-0234</x:v>
      </x:c>
      <x:c r="C12" s="2" t="n">
        <x:v>2025</x:v>
      </x:c>
      <x:c r="D12" s="2" t="n">
        <x:v>234</x:v>
      </x:c>
      <x:c r="E12" s="2" t="str">
        <x:v>DR RT 0002016</x:v>
      </x:c>
      <x:c r="F12" s="10" t="n">
        <x:v>45680</x:v>
      </x:c>
      <x:c r="G12" s="2" t="str">
        <x:v>Pagbilao</x:v>
      </x:c>
      <x:c r="H12" s="2" t="str">
        <x:v>PAGBILAO # 13,500,000</x:v>
      </x:c>
      <x:c r="I12" s="2" t="str">
        <x:v>SHARJVAX 1500 I.U. / 0.7ML</x:v>
      </x:c>
      <x:c r="J12" s="2" t="str">
        <x:v>medicine</x:v>
      </x:c>
      <x:c r="K12" s="2" t="str">
        <x:v>pharmaceutical_medicine_candidate</x:v>
      </x:c>
      <x:c r="L12" s="9" t="b">
        <x:v>1</x:v>
      </x:c>
      <x:c r="M12" s="9" t="b">
        <x:v>1</x:v>
      </x:c>
      <x:c r="N12" s="2" t="str">
        <x:v>medium</x:v>
      </x:c>
      <x:c r="O12" s="13" t="str"/>
      <x:c r="P12" s="13" t="str">
        <x:v>needs_product_master_review</x:v>
      </x:c>
      <x:c r="Q12" s="11" t="n">
        <x:v>873</x:v>
      </x:c>
      <x:c r="R12" s="2" t="str">
        <x:v>units</x:v>
      </x:c>
      <x:c r="S12" s="6" t="n">
        <x:v>1504.24</x:v>
      </x:c>
      <x:c r="T12" s="6" t="n">
        <x:f>ROUND(U12/Q12,2)</x:f>
        <x:v>1504.27</x:v>
      </x:c>
      <x:c r="U12" s="6" t="n">
        <x:v>1313226.58</x:v>
      </x:c>
      <x:c r="V12" s="6" t="n">
        <x:v>1036.91</x:v>
      </x:c>
      <x:c r="W12" s="6" t="n">
        <x:f>ROUND(X12/Q12,2)</x:f>
        <x:v>1036.93</x:v>
      </x:c>
      <x:c r="X12" s="6" t="n">
        <x:v>905238.83</x:v>
      </x:c>
      <x:c r="Y12" s="6" t="n">
        <x:f>ROUND(U12-X12,2)</x:f>
        <x:v>407987.75</x:v>
      </x:c>
      <x:c r="Z12" s="12" t="n">
        <x:f>U12/'Original Parent'!$K$8</x:f>
        <x:v>0.1135264748547233</x:v>
      </x:c>
      <x:c r="AA12" s="2" t="str">
        <x:v>scaled_government_medical_basket_2022_2024</x:v>
      </x:c>
      <x:c r="AB12" s="14" t="b">
        <x:v>0</x:v>
      </x:c>
      <x:c r="AC12" s="7" t="str">
        <x:v>estimated_pagbilao_medical_allocation</x:v>
      </x:c>
      <x:c r="AD12" s="2" t="str">
        <x:v>EVID-04</x:v>
      </x:c>
      <x:c r="AE12" s="2" t="str">
        <x:v>Exact historical MedShield product identity; Pagbilao assignment is an estimate.</x:v>
      </x:c>
    </x:row>
    <x:row r="13" ht="34" customHeight="1">
      <x:c r="A13" s="2" t="str">
        <x:v>EST-MED-SRC-2025-0234-05</x:v>
      </x:c>
      <x:c r="B13" s="2" t="str">
        <x:v>SRC-2025-0234</x:v>
      </x:c>
      <x:c r="C13" s="2" t="n">
        <x:v>2025</x:v>
      </x:c>
      <x:c r="D13" s="2" t="n">
        <x:v>234</x:v>
      </x:c>
      <x:c r="E13" s="2" t="str">
        <x:v>DR RT 0002016</x:v>
      </x:c>
      <x:c r="F13" s="10" t="n">
        <x:v>45680</x:v>
      </x:c>
      <x:c r="G13" s="2" t="str">
        <x:v>Pagbilao</x:v>
      </x:c>
      <x:c r="H13" s="2" t="str">
        <x:v>PAGBILAO # 13,500,000</x:v>
      </x:c>
      <x:c r="I13" s="2" t="str">
        <x:v>DOCOR 250MG VIAL</x:v>
      </x:c>
      <x:c r="J13" s="2" t="str">
        <x:v>medicine</x:v>
      </x:c>
      <x:c r="K13" s="2" t="str">
        <x:v>pharmaceutical_medicine_candidate</x:v>
      </x:c>
      <x:c r="L13" s="9" t="b">
        <x:v>1</x:v>
      </x:c>
      <x:c r="M13" s="9" t="b">
        <x:v>1</x:v>
      </x:c>
      <x:c r="N13" s="2" t="str">
        <x:v>medium</x:v>
      </x:c>
      <x:c r="O13" s="13" t="str"/>
      <x:c r="P13" s="13" t="str">
        <x:v>needs_product_master_review</x:v>
      </x:c>
      <x:c r="Q13" s="11" t="n">
        <x:v>920</x:v>
      </x:c>
      <x:c r="R13" s="2" t="str">
        <x:v>units</x:v>
      </x:c>
      <x:c r="S13" s="6" t="n">
        <x:v>1229.56</x:v>
      </x:c>
      <x:c r="T13" s="6" t="n">
        <x:f>ROUND(U13/Q13,2)</x:f>
        <x:v>1230.01</x:v>
      </x:c>
      <x:c r="U13" s="6" t="n">
        <x:v>1131608.5</x:v>
      </x:c>
      <x:c r="V13" s="6" t="n">
        <x:v>816.09</x:v>
      </x:c>
      <x:c r="W13" s="6" t="n">
        <x:f>ROUND(X13/Q13,2)</x:f>
        <x:v>816.39</x:v>
      </x:c>
      <x:c r="X13" s="6" t="n">
        <x:v>751077.1</x:v>
      </x:c>
      <x:c r="Y13" s="6" t="n">
        <x:f>ROUND(U13-X13,2)</x:f>
        <x:v>380531.4</x:v>
      </x:c>
      <x:c r="Z13" s="12" t="n">
        <x:f>U13/'Original Parent'!$K$8</x:f>
        <x:v>0.09782586331799736</x:v>
      </x:c>
      <x:c r="AA13" s="2" t="str">
        <x:v>scaled_government_medical_basket_2022_2024</x:v>
      </x:c>
      <x:c r="AB13" s="14" t="b">
        <x:v>0</x:v>
      </x:c>
      <x:c r="AC13" s="7" t="str">
        <x:v>estimated_pagbilao_medical_allocation</x:v>
      </x:c>
      <x:c r="AD13" s="2" t="str">
        <x:v>EVID-05</x:v>
      </x:c>
      <x:c r="AE13" s="2" t="str">
        <x:v>Exact historical MedShield product identity; Pagbilao assignment is an estimate.</x:v>
      </x:c>
    </x:row>
    <x:row r="14" ht="34" customHeight="1">
      <x:c r="A14" s="2" t="str">
        <x:v>EST-MED-SRC-2025-0234-06</x:v>
      </x:c>
      <x:c r="B14" s="2" t="str">
        <x:v>SRC-2025-0234</x:v>
      </x:c>
      <x:c r="C14" s="2" t="n">
        <x:v>2025</x:v>
      </x:c>
      <x:c r="D14" s="2" t="n">
        <x:v>234</x:v>
      </x:c>
      <x:c r="E14" s="2" t="str">
        <x:v>DR RT 0002016</x:v>
      </x:c>
      <x:c r="F14" s="10" t="n">
        <x:v>45680</x:v>
      </x:c>
      <x:c r="G14" s="2" t="str">
        <x:v>Pagbilao</x:v>
      </x:c>
      <x:c r="H14" s="2" t="str">
        <x:v>PAGBILAO # 13,500,000</x:v>
      </x:c>
      <x:c r="I14" s="2" t="str">
        <x:v>AEROX 500mg</x:v>
      </x:c>
      <x:c r="J14" s="2" t="str">
        <x:v>medicine</x:v>
      </x:c>
      <x:c r="K14" s="2" t="str">
        <x:v>pharmaceutical_medicine_candidate</x:v>
      </x:c>
      <x:c r="L14" s="9" t="b">
        <x:v>1</x:v>
      </x:c>
      <x:c r="M14" s="9" t="b">
        <x:v>1</x:v>
      </x:c>
      <x:c r="N14" s="2" t="str">
        <x:v>medium</x:v>
      </x:c>
      <x:c r="O14" s="13" t="str"/>
      <x:c r="P14" s="13" t="str">
        <x:v>needs_product_master_review</x:v>
      </x:c>
      <x:c r="Q14" s="11" t="n">
        <x:v>3602</x:v>
      </x:c>
      <x:c r="R14" s="2" t="str">
        <x:v>units</x:v>
      </x:c>
      <x:c r="S14" s="6" t="n">
        <x:v>253.09</x:v>
      </x:c>
      <x:c r="T14" s="6" t="n">
        <x:f>ROUND(U14/Q14,2)</x:f>
        <x:v>253.09</x:v>
      </x:c>
      <x:c r="U14" s="6" t="n">
        <x:v>911645.15</x:v>
      </x:c>
      <x:c r="V14" s="6" t="n">
        <x:v>95</x:v>
      </x:c>
      <x:c r="W14" s="6" t="n">
        <x:f>ROUND(X14/Q14,2)</x:f>
        <x:v>95</x:v>
      </x:c>
      <x:c r="X14" s="6" t="n">
        <x:v>342197.17</x:v>
      </x:c>
      <x:c r="Y14" s="6" t="n">
        <x:f>ROUND(U14-X14,2)</x:f>
        <x:v>569447.98</x:v>
      </x:c>
      <x:c r="Z14" s="12" t="n">
        <x:f>U14/'Original Parent'!$K$8</x:f>
        <x:v>0.07881036050755647</x:v>
      </x:c>
      <x:c r="AA14" s="2" t="str">
        <x:v>scaled_government_medical_basket_2022_2024</x:v>
      </x:c>
      <x:c r="AB14" s="14" t="b">
        <x:v>0</x:v>
      </x:c>
      <x:c r="AC14" s="7" t="str">
        <x:v>estimated_pagbilao_medical_allocation</x:v>
      </x:c>
      <x:c r="AD14" s="2" t="str">
        <x:v>EVID-06</x:v>
      </x:c>
      <x:c r="AE14" s="2" t="str">
        <x:v>Exact historical MedShield product identity; Pagbilao assignment is an estimate.</x:v>
      </x:c>
    </x:row>
    <x:row r="15" ht="34" customHeight="1">
      <x:c r="A15" s="2" t="str">
        <x:v>EST-MED-SRC-2025-0234-07</x:v>
      </x:c>
      <x:c r="B15" s="2" t="str">
        <x:v>SRC-2025-0234</x:v>
      </x:c>
      <x:c r="C15" s="2" t="n">
        <x:v>2025</x:v>
      </x:c>
      <x:c r="D15" s="2" t="n">
        <x:v>234</x:v>
      </x:c>
      <x:c r="E15" s="2" t="str">
        <x:v>DR RT 0002016</x:v>
      </x:c>
      <x:c r="F15" s="10" t="n">
        <x:v>45680</x:v>
      </x:c>
      <x:c r="G15" s="2" t="str">
        <x:v>Pagbilao</x:v>
      </x:c>
      <x:c r="H15" s="2" t="str">
        <x:v>PAGBILAO # 13,500,000</x:v>
      </x:c>
      <x:c r="I15" s="2" t="str">
        <x:v>SPEEDA 2.5IU/0.5ML</x:v>
      </x:c>
      <x:c r="J15" s="2" t="str">
        <x:v>medicine</x:v>
      </x:c>
      <x:c r="K15" s="2" t="str">
        <x:v>pharmaceutical_medicine_candidate</x:v>
      </x:c>
      <x:c r="L15" s="9" t="b">
        <x:v>1</x:v>
      </x:c>
      <x:c r="M15" s="9" t="b">
        <x:v>1</x:v>
      </x:c>
      <x:c r="N15" s="2" t="str">
        <x:v>medium</x:v>
      </x:c>
      <x:c r="O15" s="13" t="str"/>
      <x:c r="P15" s="13" t="str">
        <x:v>needs_product_master_review</x:v>
      </x:c>
      <x:c r="Q15" s="11" t="n">
        <x:v>130</x:v>
      </x:c>
      <x:c r="R15" s="2" t="str">
        <x:v>units</x:v>
      </x:c>
      <x:c r="S15" s="6" t="n">
        <x:v>6975</x:v>
      </x:c>
      <x:c r="T15" s="6" t="n">
        <x:f>ROUND(U15/Q15,2)</x:f>
        <x:v>6981.67</x:v>
      </x:c>
      <x:c r="U15" s="6" t="n">
        <x:v>907617.21</x:v>
      </x:c>
      <x:c r="V15" s="6" t="n">
        <x:v>4750</x:v>
      </x:c>
      <x:c r="W15" s="6" t="n">
        <x:f>ROUND(X15/Q15,2)</x:f>
        <x:v>4754.54</x:v>
      </x:c>
      <x:c r="X15" s="6" t="n">
        <x:v>618090.13</x:v>
      </x:c>
      <x:c r="Y15" s="6" t="n">
        <x:f>ROUND(U15-X15,2)</x:f>
        <x:v>289527.08</x:v>
      </x:c>
      <x:c r="Z15" s="12" t="n">
        <x:f>U15/'Original Parent'!$K$8</x:f>
        <x:v>0.07846215111544506</x:v>
      </x:c>
      <x:c r="AA15" s="2" t="str">
        <x:v>scaled_government_medical_basket_2022_2024</x:v>
      </x:c>
      <x:c r="AB15" s="14" t="b">
        <x:v>0</x:v>
      </x:c>
      <x:c r="AC15" s="7" t="str">
        <x:v>estimated_pagbilao_medical_allocation</x:v>
      </x:c>
      <x:c r="AD15" s="2" t="str">
        <x:v>EVID-07</x:v>
      </x:c>
      <x:c r="AE15" s="2" t="str">
        <x:v>Exact historical MedShield product identity; Pagbilao assignment is an estimate.</x:v>
      </x:c>
    </x:row>
    <x:row r="16" ht="34" customHeight="1">
      <x:c r="A16" s="2" t="str">
        <x:v>EST-MED-SRC-2025-0234-08</x:v>
      </x:c>
      <x:c r="B16" s="2" t="str">
        <x:v>SRC-2025-0234</x:v>
      </x:c>
      <x:c r="C16" s="2" t="n">
        <x:v>2025</x:v>
      </x:c>
      <x:c r="D16" s="2" t="n">
        <x:v>234</x:v>
      </x:c>
      <x:c r="E16" s="2" t="str">
        <x:v>DR RT 0002016</x:v>
      </x:c>
      <x:c r="F16" s="10" t="n">
        <x:v>45680</x:v>
      </x:c>
      <x:c r="G16" s="2" t="str">
        <x:v>Pagbilao</x:v>
      </x:c>
      <x:c r="H16" s="2" t="str">
        <x:v>PAGBILAO # 13,500,000</x:v>
      </x:c>
      <x:c r="I16" s="2" t="str">
        <x:v>DANOXIME 750MG</x:v>
      </x:c>
      <x:c r="J16" s="2" t="str">
        <x:v>medicine</x:v>
      </x:c>
      <x:c r="K16" s="2" t="str">
        <x:v>pharmaceutical_medicine_candidate</x:v>
      </x:c>
      <x:c r="L16" s="9" t="b">
        <x:v>1</x:v>
      </x:c>
      <x:c r="M16" s="9" t="b">
        <x:v>1</x:v>
      </x:c>
      <x:c r="N16" s="2" t="str">
        <x:v>medium</x:v>
      </x:c>
      <x:c r="O16" s="13" t="str"/>
      <x:c r="P16" s="13" t="str">
        <x:v>needs_product_master_review</x:v>
      </x:c>
      <x:c r="Q16" s="11" t="n">
        <x:v>4075</x:v>
      </x:c>
      <x:c r="R16" s="2" t="str">
        <x:v>units</x:v>
      </x:c>
      <x:c r="S16" s="6" t="n">
        <x:v>222.55</x:v>
      </x:c>
      <x:c r="T16" s="6" t="n">
        <x:f>ROUND(U16/Q16,2)</x:f>
        <x:v>222.56</x:v>
      </x:c>
      <x:c r="U16" s="6" t="n">
        <x:v>906942.93</x:v>
      </x:c>
      <x:c r="V16" s="6" t="n">
        <x:v>30.5</x:v>
      </x:c>
      <x:c r="W16" s="6" t="n">
        <x:f>ROUND(X16/Q16,2)</x:f>
        <x:v>30.5</x:v>
      </x:c>
      <x:c r="X16" s="6" t="n">
        <x:v>124295.26</x:v>
      </x:c>
      <x:c r="Y16" s="6" t="n">
        <x:f>ROUND(U16-X16,2)</x:f>
        <x:v>782647.67</x:v>
      </x:c>
      <x:c r="Z16" s="12" t="n">
        <x:f>U16/'Original Parent'!$K$8</x:f>
        <x:v>0.07840386061734607</x:v>
      </x:c>
      <x:c r="AA16" s="2" t="str">
        <x:v>scaled_government_medical_basket_2022_2024</x:v>
      </x:c>
      <x:c r="AB16" s="14" t="b">
        <x:v>0</x:v>
      </x:c>
      <x:c r="AC16" s="7" t="str">
        <x:v>estimated_pagbilao_medical_allocation</x:v>
      </x:c>
      <x:c r="AD16" s="2" t="str">
        <x:v>EVID-08</x:v>
      </x:c>
      <x:c r="AE16" s="2" t="str">
        <x:v>Exact historical MedShield product identity; Pagbilao assignment is an estimate.</x:v>
      </x:c>
    </x:row>
    <x:row r="17" ht="34" customHeight="1">
      <x:c r="A17" s="2" t="str">
        <x:v>EST-MED-SRC-2025-0234-09</x:v>
      </x:c>
      <x:c r="B17" s="2" t="str">
        <x:v>SRC-2025-0234</x:v>
      </x:c>
      <x:c r="C17" s="2" t="n">
        <x:v>2025</x:v>
      </x:c>
      <x:c r="D17" s="2" t="n">
        <x:v>234</x:v>
      </x:c>
      <x:c r="E17" s="2" t="str">
        <x:v>DR RT 0002016</x:v>
      </x:c>
      <x:c r="F17" s="10" t="n">
        <x:v>45680</x:v>
      </x:c>
      <x:c r="G17" s="2" t="str">
        <x:v>Pagbilao</x:v>
      </x:c>
      <x:c r="H17" s="2" t="str">
        <x:v>PAGBILAO # 13,500,000</x:v>
      </x:c>
      <x:c r="I17" s="2" t="str">
        <x:v>EQUIRAB 200IU/ML (1000IU/5ML) 5ML</x:v>
      </x:c>
      <x:c r="J17" s="2" t="str">
        <x:v>medicine</x:v>
      </x:c>
      <x:c r="K17" s="2" t="str">
        <x:v>pharmaceutical_medicine_candidate</x:v>
      </x:c>
      <x:c r="L17" s="9" t="b">
        <x:v>1</x:v>
      </x:c>
      <x:c r="M17" s="9" t="b">
        <x:v>1</x:v>
      </x:c>
      <x:c r="N17" s="2" t="str">
        <x:v>medium</x:v>
      </x:c>
      <x:c r="O17" s="13" t="str"/>
      <x:c r="P17" s="13" t="str">
        <x:v>needs_product_master_review</x:v>
      </x:c>
      <x:c r="Q17" s="11" t="n">
        <x:v>118</x:v>
      </x:c>
      <x:c r="R17" s="2" t="str">
        <x:v>units</x:v>
      </x:c>
      <x:c r="S17" s="6" t="n">
        <x:v>2195</x:v>
      </x:c>
      <x:c r="T17" s="6" t="n">
        <x:f>ROUND(U17/Q17,2)</x:f>
        <x:v>2200.48</x:v>
      </x:c>
      <x:c r="U17" s="6" t="n">
        <x:v>259657.19</x:v>
      </x:c>
      <x:c r="V17" s="6" t="n">
        <x:v>1700</x:v>
      </x:c>
      <x:c r="W17" s="6" t="n">
        <x:f>ROUND(X17/Q17,2)</x:f>
        <x:v>1704.25</x:v>
      </x:c>
      <x:c r="X17" s="6" t="n">
        <x:v>201101.1</x:v>
      </x:c>
      <x:c r="Y17" s="6" t="n">
        <x:f>ROUND(U17-X17,2)</x:f>
        <x:v>58556.09</x:v>
      </x:c>
      <x:c r="Z17" s="12" t="n">
        <x:f>U17/'Original Parent'!$K$8</x:f>
        <x:v>0.022446975944838937</x:v>
      </x:c>
      <x:c r="AA17" s="2" t="str">
        <x:v>scaled_government_medical_basket_2022_2024</x:v>
      </x:c>
      <x:c r="AB17" s="14" t="b">
        <x:v>0</x:v>
      </x:c>
      <x:c r="AC17" s="7" t="str">
        <x:v>estimated_pagbilao_medical_allocation</x:v>
      </x:c>
      <x:c r="AD17" s="2" t="str">
        <x:v>EVID-09</x:v>
      </x:c>
      <x:c r="AE17" s="2" t="str">
        <x:v>Exact historical MedShield product identity; Pagbilao assignment is an estimate.</x:v>
      </x:c>
    </x:row>
    <x:row r="18" ht="34" customHeight="1">
      <x:c r="A18" s="2" t="str">
        <x:v>EST-MED-SRC-2025-0234-10</x:v>
      </x:c>
      <x:c r="B18" s="2" t="str">
        <x:v>SRC-2025-0234</x:v>
      </x:c>
      <x:c r="C18" s="2" t="n">
        <x:v>2025</x:v>
      </x:c>
      <x:c r="D18" s="2" t="n">
        <x:v>234</x:v>
      </x:c>
      <x:c r="E18" s="2" t="str">
        <x:v>DR RT 0002016</x:v>
      </x:c>
      <x:c r="F18" s="10" t="n">
        <x:v>45680</x:v>
      </x:c>
      <x:c r="G18" s="2" t="str">
        <x:v>Pagbilao</x:v>
      </x:c>
      <x:c r="H18" s="2" t="str">
        <x:v>PAGBILAO # 13,500,000</x:v>
      </x:c>
      <x:c r="I18" s="2" t="str">
        <x:v>AHBAY-TOX 40IU/0.5ML IM</x:v>
      </x:c>
      <x:c r="J18" s="2" t="str">
        <x:v>medicine</x:v>
      </x:c>
      <x:c r="K18" s="2" t="str">
        <x:v>pharmaceutical_medicine_candidate</x:v>
      </x:c>
      <x:c r="L18" s="9" t="b">
        <x:v>1</x:v>
      </x:c>
      <x:c r="M18" s="9" t="b">
        <x:v>1</x:v>
      </x:c>
      <x:c r="N18" s="2" t="str">
        <x:v>medium</x:v>
      </x:c>
      <x:c r="O18" s="13" t="str"/>
      <x:c r="P18" s="13" t="str">
        <x:v>needs_product_master_review</x:v>
      </x:c>
      <x:c r="Q18" s="11" t="n">
        <x:v>295</x:v>
      </x:c>
      <x:c r="R18" s="2" t="str">
        <x:v>units</x:v>
      </x:c>
      <x:c r="S18" s="6" t="n">
        <x:v>852.5</x:v>
      </x:c>
      <x:c r="T18" s="6" t="n">
        <x:f>ROUND(U18/Q18,2)</x:f>
        <x:v>851.21</x:v>
      </x:c>
      <x:c r="U18" s="6" t="n">
        <x:v>251107.43</x:v>
      </x:c>
      <x:c r="V18" s="6" t="n">
        <x:v>580</x:v>
      </x:c>
      <x:c r="W18" s="6" t="n">
        <x:f>ROUND(X18/Q18,2)</x:f>
        <x:v>579.12</x:v>
      </x:c>
      <x:c r="X18" s="6" t="n">
        <x:v>170841.29</x:v>
      </x:c>
      <x:c r="Y18" s="6" t="n">
        <x:f>ROUND(U18-X18,2)</x:f>
        <x:v>80266.14</x:v>
      </x:c>
      <x:c r="Z18" s="12" t="n">
        <x:f>U18/'Original Parent'!$K$8</x:f>
        <x:v>0.021707861972858625</x:v>
      </x:c>
      <x:c r="AA18" s="2" t="str">
        <x:v>scaled_government_medical_basket_2022_2024</x:v>
      </x:c>
      <x:c r="AB18" s="14" t="b">
        <x:v>0</x:v>
      </x:c>
      <x:c r="AC18" s="7" t="str">
        <x:v>estimated_pagbilao_medical_allocation</x:v>
      </x:c>
      <x:c r="AD18" s="2" t="str">
        <x:v>EVID-10</x:v>
      </x:c>
      <x:c r="AE18" s="2" t="str">
        <x:v>Exact historical MedShield product identity; Pagbilao assignment is an estimate.</x:v>
      </x:c>
    </x:row>
    <x:row r="19" ht="34" customHeight="1">
      <x:c r="A19" s="2" t="str">
        <x:v>EST-MED-SRC-2025-0234-11</x:v>
      </x:c>
      <x:c r="B19" s="2" t="str">
        <x:v>SRC-2025-0234</x:v>
      </x:c>
      <x:c r="C19" s="2" t="n">
        <x:v>2025</x:v>
      </x:c>
      <x:c r="D19" s="2" t="n">
        <x:v>234</x:v>
      </x:c>
      <x:c r="E19" s="2" t="str">
        <x:v>DR RT 0002016</x:v>
      </x:c>
      <x:c r="F19" s="10" t="n">
        <x:v>45680</x:v>
      </x:c>
      <x:c r="G19" s="2" t="str">
        <x:v>Pagbilao</x:v>
      </x:c>
      <x:c r="H19" s="2" t="str">
        <x:v>PAGBILAO # 13,500,000</x:v>
      </x:c>
      <x:c r="I19" s="2" t="str">
        <x:v>DISPOSABLE SYRINGE 3CC - COSMED</x:v>
      </x:c>
      <x:c r="J19" s="2" t="str">
        <x:v>medical_supply</x:v>
      </x:c>
      <x:c r="K19" s="2" t="str">
        <x:v>medical_consumable</x:v>
      </x:c>
      <x:c r="L19" s="9" t="b">
        <x:v>1</x:v>
      </x:c>
      <x:c r="M19" s="9" t="b">
        <x:v>1</x:v>
      </x:c>
      <x:c r="N19" s="2" t="str">
        <x:v>high</x:v>
      </x:c>
      <x:c r="O19" s="13" t="str"/>
      <x:c r="P19" s="13" t="str">
        <x:v>needs_product_master_review</x:v>
      </x:c>
      <x:c r="Q19" s="11" t="n">
        <x:v>189</x:v>
      </x:c>
      <x:c r="R19" s="2" t="str">
        <x:v>units</x:v>
      </x:c>
      <x:c r="S19" s="6" t="n">
        <x:v>1012.5</x:v>
      </x:c>
      <x:c r="T19" s="6" t="n">
        <x:f>ROUND(U19/Q19,2)</x:f>
        <x:v>1013.96</x:v>
      </x:c>
      <x:c r="U19" s="6" t="n">
        <x:v>191637.65</x:v>
      </x:c>
      <x:c r="V19" s="6" t="n">
        <x:v>250</x:v>
      </x:c>
      <x:c r="W19" s="6" t="n">
        <x:f>ROUND(X19/Q19,2)</x:f>
        <x:v>250.36</x:v>
      </x:c>
      <x:c r="X19" s="6" t="n">
        <x:v>47317.9</x:v>
      </x:c>
      <x:c r="Y19" s="6" t="n">
        <x:f>ROUND(U19-X19,2)</x:f>
        <x:v>144319.75</x:v>
      </x:c>
      <x:c r="Z19" s="12" t="n">
        <x:f>U19/'Original Parent'!$K$8</x:f>
        <x:v>0.016566788386162015</x:v>
      </x:c>
      <x:c r="AA19" s="2" t="str">
        <x:v>scaled_government_medical_basket_2022_2024</x:v>
      </x:c>
      <x:c r="AB19" s="14" t="b">
        <x:v>0</x:v>
      </x:c>
      <x:c r="AC19" s="7" t="str">
        <x:v>estimated_pagbilao_medical_allocation</x:v>
      </x:c>
      <x:c r="AD19" s="2" t="str">
        <x:v>EVID-11</x:v>
      </x:c>
      <x:c r="AE19" s="2" t="str">
        <x:v>Exact historical MedShield product identity; Pagbilao assignment is an estimate.</x:v>
      </x:c>
    </x:row>
    <x:row r="20" ht="34" customHeight="1">
      <x:c r="A20" s="2" t="str">
        <x:v>EST-MED-SRC-2025-0234-12</x:v>
      </x:c>
      <x:c r="B20" s="2" t="str">
        <x:v>SRC-2025-0234</x:v>
      </x:c>
      <x:c r="C20" s="2" t="n">
        <x:v>2025</x:v>
      </x:c>
      <x:c r="D20" s="2" t="n">
        <x:v>234</x:v>
      </x:c>
      <x:c r="E20" s="2" t="str">
        <x:v>DR RT 0002016</x:v>
      </x:c>
      <x:c r="F20" s="10" t="n">
        <x:v>45680</x:v>
      </x:c>
      <x:c r="G20" s="2" t="str">
        <x:v>Pagbilao</x:v>
      </x:c>
      <x:c r="H20" s="2" t="str">
        <x:v>PAGBILAO # 13,500,000</x:v>
      </x:c>
      <x:c r="I20" s="2" t="str">
        <x:v>IV CANNULA WITH WINGS LUER LOCK G18 1.5X38MM (CATHULA)</x:v>
      </x:c>
      <x:c r="J20" s="2" t="str">
        <x:v>medical_supply</x:v>
      </x:c>
      <x:c r="K20" s="2" t="str">
        <x:v>medical_consumable</x:v>
      </x:c>
      <x:c r="L20" s="9" t="b">
        <x:v>1</x:v>
      </x:c>
      <x:c r="M20" s="9" t="b">
        <x:v>1</x:v>
      </x:c>
      <x:c r="N20" s="2" t="str">
        <x:v>high</x:v>
      </x:c>
      <x:c r="O20" s="13" t="str"/>
      <x:c r="P20" s="13" t="str">
        <x:v>needs_product_master_review</x:v>
      </x:c>
      <x:c r="Q20" s="11" t="n">
        <x:v>71</x:v>
      </x:c>
      <x:c r="R20" s="2" t="str">
        <x:v>units</x:v>
      </x:c>
      <x:c r="S20" s="6" t="n">
        <x:v>3380</x:v>
      </x:c>
      <x:c r="T20" s="6" t="n">
        <x:f>ROUND(U20/Q20,2)</x:f>
        <x:v>3378.9</x:v>
      </x:c>
      <x:c r="U20" s="6" t="n">
        <x:v>239901.96</x:v>
      </x:c>
      <x:c r="V20" s="6" t="n">
        <x:v>2200</x:v>
      </x:c>
      <x:c r="W20" s="6" t="n">
        <x:f>ROUND(X20/Q20,2)</x:f>
        <x:v>2199.28</x:v>
      </x:c>
      <x:c r="X20" s="6" t="n">
        <x:v>156149.1</x:v>
      </x:c>
      <x:c r="Y20" s="6" t="n">
        <x:f>ROUND(U20-X20,2)</x:f>
        <x:v>83752.86</x:v>
      </x:c>
      <x:c r="Z20" s="12" t="n">
        <x:f>U20/'Original Parent'!$K$8</x:f>
        <x:v>0.020739165841083443</x:v>
      </x:c>
      <x:c r="AA20" s="2" t="str">
        <x:v>scaled_government_medical_basket_2022_2024</x:v>
      </x:c>
      <x:c r="AB20" s="14" t="b">
        <x:v>0</x:v>
      </x:c>
      <x:c r="AC20" s="7" t="str">
        <x:v>estimated_pagbilao_medical_allocation</x:v>
      </x:c>
      <x:c r="AD20" s="2" t="str">
        <x:v>EVID-12</x:v>
      </x:c>
      <x:c r="AE20" s="2" t="str">
        <x:v>Exact historical MedShield product identity; Pagbilao assignment is an estimate.</x:v>
      </x:c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</x:sheetData>
  <x:mergeCells>
    <x:mergeCell ref="A2:AE2"/>
    <x:mergeCell ref="A3:AE3"/>
  </x:mergeCells>
  <x:pageMargins left="0.7" right="0.7" top="0.75" bottom="0.75" header="0.3" footer="0.3"/>
  <x:tableParts count="1">
    <x:tablePart xmlns:r="http://schemas.openxmlformats.org/officeDocument/2006/relationships" r:id="Rf5b1ce57a6534e50"/>
  </x:tableParts>
</x:worksheet>
</file>

<file path=xl/worksheets/sheet2.xml><?xml version="1.0" encoding="utf-8"?>
<x:worksheet xmlns:x="http://schemas.openxmlformats.org/spreadsheetml/2006/main">
  <x:sheetPr>
    <x:tabColor rgb="FFC9B45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5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8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>
      <x:c r="A2" s="3" t="str">
        <x:v>Original Pagbilao parent row</x:v>
      </x:c>
      <x:c r="B2" s="2" t="str">
        <x:v>Original Pagbilao parent row</x:v>
      </x:c>
      <x:c r="C2" s="2" t="str">
        <x:v>Original Pagbilao parent row</x:v>
      </x:c>
      <x:c r="D2" s="2" t="str">
        <x:v>Original Pagbilao parent row</x:v>
      </x:c>
      <x:c r="E2" s="2" t="str">
        <x:v>Original Pagbilao parent row</x:v>
      </x:c>
      <x:c r="F2" s="2" t="str">
        <x:v>Original Pagbilao parent row</x:v>
      </x:c>
      <x:c r="G2" s="2" t="str">
        <x:v>Original Pagbilao parent row</x:v>
      </x:c>
      <x:c r="H2" s="2" t="str">
        <x:v>Original Pagbilao parent row</x:v>
      </x:c>
      <x:c r="I2" s="2" t="str">
        <x:v>Original Pagbilao parent row</x:v>
      </x:c>
      <x:c r="J2" s="2" t="str">
        <x:v>Original Pagbilao parent row</x:v>
      </x:c>
      <x:c r="K2" s="2" t="str">
        <x:v>Original Pagbilao parent row</x:v>
      </x:c>
      <x:c r="L2" s="2" t="str">
        <x:v>Original Pagbilao parent row</x:v>
      </x:c>
      <x:c r="M2" s="2" t="str">
        <x:v>Original Pagbilao parent row</x:v>
      </x:c>
      <x:c r="N2" s="2" t="str">
        <x:v>Original Pagbilao parent row</x:v>
      </x:c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A3" s="15" t="str">
        <x:v>The source row is retained unchanged. The ₱13.5 million embedded label is a reference amount; financial reconciliation uses Net CP, Total TP, and gross profit.</x:v>
      </x:c>
      <x:c r="B3" s="2" t="str">
        <x:v>The source row is retained unchanged. The ₱13.5 million embedded label is a reference amount; financial reconciliation uses Net CP, Total TP, and gross profit.</x:v>
      </x:c>
      <x:c r="C3" s="2" t="str">
        <x:v>The source row is retained unchanged. The ₱13.5 million embedded label is a reference amount; financial reconciliation uses Net CP, Total TP, and gross profit.</x:v>
      </x:c>
      <x:c r="D3" s="2" t="str">
        <x:v>The source row is retained unchanged. The ₱13.5 million embedded label is a reference amount; financial reconciliation uses Net CP, Total TP, and gross profit.</x:v>
      </x:c>
      <x:c r="E3" s="2" t="str">
        <x:v>The source row is retained unchanged. The ₱13.5 million embedded label is a reference amount; financial reconciliation uses Net CP, Total TP, and gross profit.</x:v>
      </x:c>
      <x:c r="F3" s="2" t="str">
        <x:v>The source row is retained unchanged. The ₱13.5 million embedded label is a reference amount; financial reconciliation uses Net CP, Total TP, and gross profit.</x:v>
      </x:c>
      <x:c r="G3" s="2" t="str">
        <x:v>The source row is retained unchanged. The ₱13.5 million embedded label is a reference amount; financial reconciliation uses Net CP, Total TP, and gross profit.</x:v>
      </x:c>
      <x:c r="H3" s="2" t="str">
        <x:v>The source row is retained unchanged. The ₱13.5 million embedded label is a reference amount; financial reconciliation uses Net CP, Total TP, and gross profit.</x:v>
      </x:c>
      <x:c r="I3" s="2" t="str">
        <x:v>The source row is retained unchanged. The ₱13.5 million embedded label is a reference amount; financial reconciliation uses Net CP, Total TP, and gross profit.</x:v>
      </x:c>
      <x:c r="J3" s="2" t="str">
        <x:v>The source row is retained unchanged. The ₱13.5 million embedded label is a reference amount; financial reconciliation uses Net CP, Total TP, and gross profit.</x:v>
      </x:c>
      <x:c r="K3" s="2" t="str">
        <x:v>The source row is retained unchanged. The ₱13.5 million embedded label is a reference amount; financial reconciliation uses Net CP, Total TP, and gross profit.</x:v>
      </x:c>
      <x:c r="L3" s="2" t="str">
        <x:v>The source row is retained unchanged. The ₱13.5 million embedded label is a reference amount; financial reconciliation uses Net CP, Total TP, and gross profit.</x:v>
      </x:c>
      <x:c r="M3" s="2" t="str">
        <x:v>The source row is retained unchanged. The ₱13.5 million embedded label is a reference amount; financial reconciliation uses Net CP, Total TP, and gross profit.</x:v>
      </x:c>
      <x:c r="N3" s="2" t="str">
        <x:v>The source row is retained unchanged. The ₱13.5 million embedded label is a reference amount; financial reconciliation uses Net CP, Total TP, and gross profit.</x:v>
      </x:c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A4" s="16" t="str">
        <x:v>Source: data/medshield/dataset_csv/medshield_data_2025.csv, source CSV line 234</x:v>
      </x:c>
      <x:c r="B4" s="2" t="str">
        <x:v>Source: data/medshield/dataset_csv/medshield_data_2025.csv, source CSV line 234</x:v>
      </x:c>
      <x:c r="C4" s="2" t="str">
        <x:v>Source: data/medshield/dataset_csv/medshield_data_2025.csv, source CSV line 234</x:v>
      </x:c>
      <x:c r="D4" s="2" t="str">
        <x:v>Source: data/medshield/dataset_csv/medshield_data_2025.csv, source CSV line 234</x:v>
      </x:c>
      <x:c r="E4" s="2" t="str">
        <x:v>Source: data/medshield/dataset_csv/medshield_data_2025.csv, source CSV line 234</x:v>
      </x:c>
      <x:c r="F4" s="2" t="str">
        <x:v>Source: data/medshield/dataset_csv/medshield_data_2025.csv, source CSV line 234</x:v>
      </x:c>
      <x:c r="G4" s="2" t="str">
        <x:v>Source: data/medshield/dataset_csv/medshield_data_2025.csv, source CSV line 234</x:v>
      </x:c>
      <x:c r="H4" s="2" t="str">
        <x:v>Source: data/medshield/dataset_csv/medshield_data_2025.csv, source CSV line 234</x:v>
      </x:c>
      <x:c r="I4" s="2" t="str">
        <x:v>Source: data/medshield/dataset_csv/medshield_data_2025.csv, source CSV line 234</x:v>
      </x:c>
      <x:c r="J4" s="2" t="str">
        <x:v>Source: data/medshield/dataset_csv/medshield_data_2025.csv, source CSV line 234</x:v>
      </x:c>
      <x:c r="K4" s="2" t="str">
        <x:v>Source: data/medshield/dataset_csv/medshield_data_2025.csv, source CSV line 234</x:v>
      </x:c>
      <x:c r="L4" s="2" t="str">
        <x:v>Source: data/medshield/dataset_csv/medshield_data_2025.csv, source CSV line 234</x:v>
      </x:c>
      <x:c r="M4" s="2" t="str">
        <x:v>Source: data/medshield/dataset_csv/medshield_data_2025.csv, source CSV line 234</x:v>
      </x:c>
      <x:c r="N4" s="2" t="str">
        <x:v>Source: data/medshield/dataset_csv/medshield_data_2025.csv, source CSV line 234</x:v>
      </x:c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32" customHeight="1">
      <x:c r="A7" s="25" t="str">
        <x:v>parent_record_id</x:v>
      </x:c>
      <x:c r="B7" s="25" t="str">
        <x:v>source_file</x:v>
      </x:c>
      <x:c r="C7" s="25" t="str">
        <x:v>source_year</x:v>
      </x:c>
      <x:c r="D7" s="25" t="str">
        <x:v>source_row_number</x:v>
      </x:c>
      <x:c r="E7" s="25" t="str">
        <x:v>area</x:v>
      </x:c>
      <x:c r="F7" s="25" t="str">
        <x:v>dr_number</x:v>
      </x:c>
      <x:c r="G7" s="25" t="str">
        <x:v>date_delivered</x:v>
      </x:c>
      <x:c r="H7" s="25" t="str">
        <x:v>original_product_label</x:v>
      </x:c>
      <x:c r="I7" s="25" t="str">
        <x:v>source_quantity</x:v>
      </x:c>
      <x:c r="J7" s="25" t="str">
        <x:v>embedded_label_amount</x:v>
      </x:c>
      <x:c r="K7" s="25" t="str">
        <x:v>parent_net_sales</x:v>
      </x:c>
      <x:c r="L7" s="25" t="str">
        <x:v>parent_acquisition_cost</x:v>
      </x:c>
      <x:c r="M7" s="25" t="str">
        <x:v>parent_gross_profit</x:v>
      </x:c>
      <x:c r="N7" s="25" t="str">
        <x:v>source_record_status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32" customHeight="1">
      <x:c r="A8" s="2" t="str">
        <x:v>SRC-2025-0234</x:v>
      </x:c>
      <x:c r="B8" s="2" t="str">
        <x:v>data/medshield/dataset_csv/medshield_data_2025.csv</x:v>
      </x:c>
      <x:c r="C8" s="2" t="n">
        <x:v>2025</x:v>
      </x:c>
      <x:c r="D8" s="2" t="n">
        <x:v>234</x:v>
      </x:c>
      <x:c r="E8" s="2" t="str">
        <x:v>Government</x:v>
      </x:c>
      <x:c r="F8" s="2" t="str">
        <x:v>DR RT 0002016</x:v>
      </x:c>
      <x:c r="G8" s="10" t="n">
        <x:v>45680</x:v>
      </x:c>
      <x:c r="H8" s="2" t="str">
        <x:v>PAGBILAO # 13,500,000</x:v>
      </x:c>
      <x:c r="I8" s="11" t="n">
        <x:v>1</x:v>
      </x:c>
      <x:c r="J8" s="6" t="n">
        <x:v>13500000</x:v>
      </x:c>
      <x:c r="K8" s="6" t="n">
        <x:v>11567580</x:v>
      </x:c>
      <x:c r="L8" s="6" t="n">
        <x:v>4229349.44</x:v>
      </x:c>
      <x:c r="M8" s="6" t="n">
        <x:v>7338230.56</x:v>
      </x:c>
      <x:c r="N8" s="2" t="str">
        <x:v>original_parent_preserved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</x:sheetData>
  <x:mergeCells>
    <x:mergeCell ref="A2:N2"/>
    <x:mergeCell ref="A3:N3"/>
    <x:mergeCell ref="A4:N4"/>
  </x:mergeCells>
  <x:pageMargins left="0.7" right="0.7" top="0.75" bottom="0.75" header="0.3" footer="0.3"/>
  <x:tableParts count="1">
    <x:tablePart xmlns:r="http://schemas.openxmlformats.org/officeDocument/2006/relationships" r:id="R9ce832dbda5b40c9"/>
  </x:tableParts>
</x:worksheet>
</file>

<file path=xl/worksheets/sheet3.xml><?xml version="1.0" encoding="utf-8"?>
<x:worksheet xmlns:x="http://schemas.openxmlformats.org/spreadsheetml/2006/main">
  <x:sheetPr>
    <x:tabColor rgb="FF6FA8D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22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4" hidden="0" customWidth="1"/>
    <x:col min="14" max="14" width="40" hidden="0" customWidth="1"/>
    <x:col min="15" max="15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>
      <x:c r="A2" s="3" t="str">
        <x:v>Evidence that every allocated product exists in MedShield Government sales</x:v>
      </x:c>
      <x:c r="B2" s="2" t="str">
        <x:v>Evidence that every allocated product exists in MedShield Government sales</x:v>
      </x:c>
      <x:c r="C2" s="2" t="str">
        <x:v>Evidence that every allocated product exists in MedShield Government sales</x:v>
      </x:c>
      <x:c r="D2" s="2" t="str">
        <x:v>Evidence that every allocated product exists in MedShield Government sales</x:v>
      </x:c>
      <x:c r="E2" s="2" t="str">
        <x:v>Evidence that every allocated product exists in MedShield Government sales</x:v>
      </x:c>
      <x:c r="F2" s="2" t="str">
        <x:v>Evidence that every allocated product exists in MedShield Government sales</x:v>
      </x:c>
      <x:c r="G2" s="2" t="str">
        <x:v>Evidence that every allocated product exists in MedShield Government sales</x:v>
      </x:c>
      <x:c r="H2" s="2" t="str">
        <x:v>Evidence that every allocated product exists in MedShield Government sales</x:v>
      </x:c>
      <x:c r="I2" s="2" t="str">
        <x:v>Evidence that every allocated product exists in MedShield Government sales</x:v>
      </x:c>
      <x:c r="J2" s="2" t="str">
        <x:v>Evidence that every allocated product exists in MedShield Government sales</x:v>
      </x:c>
      <x:c r="K2" s="2" t="str">
        <x:v>Evidence that every allocated product exists in MedShield Government sales</x:v>
      </x:c>
      <x:c r="L2" s="2" t="str">
        <x:v>Evidence that every allocated product exists in MedShield Government sales</x:v>
      </x:c>
      <x:c r="M2" s="2" t="str">
        <x:v>Evidence that every allocated product exists in MedShield Government sales</x:v>
      </x:c>
      <x:c r="N2" s="2" t="str">
        <x:v>Evidence that every allocated product exists in MedShield Government sales</x:v>
      </x:c>
      <x:c r="O2" s="2" t="str">
        <x:v>Evidence that every allocated product exists in MedShield Government sales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A3" s="15" t="str">
        <x:v>The evidence supports the product identities and price basis. It does not prove that Pagbilao purchased these exact items.</x:v>
      </x:c>
      <x:c r="B3" s="2" t="str">
        <x:v>The evidence supports the product identities and price basis. It does not prove that Pagbilao purchased these exact items.</x:v>
      </x:c>
      <x:c r="C3" s="2" t="str">
        <x:v>The evidence supports the product identities and price basis. It does not prove that Pagbilao purchased these exact items.</x:v>
      </x:c>
      <x:c r="D3" s="2" t="str">
        <x:v>The evidence supports the product identities and price basis. It does not prove that Pagbilao purchased these exact items.</x:v>
      </x:c>
      <x:c r="E3" s="2" t="str">
        <x:v>The evidence supports the product identities and price basis. It does not prove that Pagbilao purchased these exact items.</x:v>
      </x:c>
      <x:c r="F3" s="2" t="str">
        <x:v>The evidence supports the product identities and price basis. It does not prove that Pagbilao purchased these exact items.</x:v>
      </x:c>
      <x:c r="G3" s="2" t="str">
        <x:v>The evidence supports the product identities and price basis. It does not prove that Pagbilao purchased these exact items.</x:v>
      </x:c>
      <x:c r="H3" s="2" t="str">
        <x:v>The evidence supports the product identities and price basis. It does not prove that Pagbilao purchased these exact items.</x:v>
      </x:c>
      <x:c r="I3" s="2" t="str">
        <x:v>The evidence supports the product identities and price basis. It does not prove that Pagbilao purchased these exact items.</x:v>
      </x:c>
      <x:c r="J3" s="2" t="str">
        <x:v>The evidence supports the product identities and price basis. It does not prove that Pagbilao purchased these exact items.</x:v>
      </x:c>
      <x:c r="K3" s="2" t="str">
        <x:v>The evidence supports the product identities and price basis. It does not prove that Pagbilao purchased these exact items.</x:v>
      </x:c>
      <x:c r="L3" s="2" t="str">
        <x:v>The evidence supports the product identities and price basis. It does not prove that Pagbilao purchased these exact items.</x:v>
      </x:c>
      <x:c r="M3" s="2" t="str">
        <x:v>The evidence supports the product identities and price basis. It does not prove that Pagbilao purchased these exact items.</x:v>
      </x:c>
      <x:c r="N3" s="2" t="str">
        <x:v>The evidence supports the product identities and price basis. It does not prove that Pagbilao purchased these exact items.</x:v>
      </x:c>
      <x:c r="O3" s="2" t="str">
        <x:v>The evidence supports the product identities and price basis. It does not prove that Pagbilao purchased these exact items.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A4" s="16" t="str">
        <x:v>Sources: medshield_data_2022.csv, medshield_data_2023.csv, medshield_data_2024.csv, and product_classification_candidates.csv</x:v>
      </x:c>
      <x:c r="B4" s="2" t="str">
        <x:v>Sources: medshield_data_2022.csv, medshield_data_2023.csv, medshield_data_2024.csv, and product_classification_candidates.csv</x:v>
      </x:c>
      <x:c r="C4" s="2" t="str">
        <x:v>Sources: medshield_data_2022.csv, medshield_data_2023.csv, medshield_data_2024.csv, and product_classification_candidates.csv</x:v>
      </x:c>
      <x:c r="D4" s="2" t="str">
        <x:v>Sources: medshield_data_2022.csv, medshield_data_2023.csv, medshield_data_2024.csv, and product_classification_candidates.csv</x:v>
      </x:c>
      <x:c r="E4" s="2" t="str">
        <x:v>Sources: medshield_data_2022.csv, medshield_data_2023.csv, medshield_data_2024.csv, and product_classification_candidates.csv</x:v>
      </x:c>
      <x:c r="F4" s="2" t="str">
        <x:v>Sources: medshield_data_2022.csv, medshield_data_2023.csv, medshield_data_2024.csv, and product_classification_candidates.csv</x:v>
      </x:c>
      <x:c r="G4" s="2" t="str">
        <x:v>Sources: medshield_data_2022.csv, medshield_data_2023.csv, medshield_data_2024.csv, and product_classification_candidates.csv</x:v>
      </x:c>
      <x:c r="H4" s="2" t="str">
        <x:v>Sources: medshield_data_2022.csv, medshield_data_2023.csv, medshield_data_2024.csv, and product_classification_candidates.csv</x:v>
      </x:c>
      <x:c r="I4" s="2" t="str">
        <x:v>Sources: medshield_data_2022.csv, medshield_data_2023.csv, medshield_data_2024.csv, and product_classification_candidates.csv</x:v>
      </x:c>
      <x:c r="J4" s="2" t="str">
        <x:v>Sources: medshield_data_2022.csv, medshield_data_2023.csv, medshield_data_2024.csv, and product_classification_candidates.csv</x:v>
      </x:c>
      <x:c r="K4" s="2" t="str">
        <x:v>Sources: medshield_data_2022.csv, medshield_data_2023.csv, medshield_data_2024.csv, and product_classification_candidates.csv</x:v>
      </x:c>
      <x:c r="L4" s="2" t="str">
        <x:v>Sources: medshield_data_2022.csv, medshield_data_2023.csv, medshield_data_2024.csv, and product_classification_candidates.csv</x:v>
      </x:c>
      <x:c r="M4" s="2" t="str">
        <x:v>Sources: medshield_data_2022.csv, medshield_data_2023.csv, medshield_data_2024.csv, and product_classification_candidates.csv</x:v>
      </x:c>
      <x:c r="N4" s="2" t="str">
        <x:v>Sources: medshield_data_2022.csv, medshield_data_2023.csv, medshield_data_2024.csv, and product_classification_candidates.csv</x:v>
      </x:c>
      <x:c r="O4" s="2" t="str">
        <x:v>Sources: medshield_data_2022.csv, medshield_data_2023.csv, medshield_data_2024.csv, and product_classification_candidates.csv</x:v>
      </x:c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34" customHeight="1">
      <x:c r="A7" s="25" t="str">
        <x:v>evidence_id</x:v>
      </x:c>
      <x:c r="B7" s="25" t="str">
        <x:v>source_product_name</x:v>
      </x:c>
      <x:c r="C7" s="25" t="str">
        <x:v>product_class</x:v>
      </x:c>
      <x:c r="D7" s="25" t="str">
        <x:v>product_category</x:v>
      </x:c>
      <x:c r="E7" s="25" t="str">
        <x:v>government_occurrences</x:v>
      </x:c>
      <x:c r="F7" s="25" t="str">
        <x:v>first_year</x:v>
      </x:c>
      <x:c r="G7" s="25" t="str">
        <x:v>last_year</x:v>
      </x:c>
      <x:c r="H7" s="25" t="str">
        <x:v>observed_quantity</x:v>
      </x:c>
      <x:c r="I7" s="25" t="str">
        <x:v>observed_net_sales</x:v>
      </x:c>
      <x:c r="J7" s="25" t="str">
        <x:v>observed_acquisition_cost</x:v>
      </x:c>
      <x:c r="K7" s="25" t="str">
        <x:v>historical_avg_unit_net</x:v>
      </x:c>
      <x:c r="L7" s="25" t="str">
        <x:v>historical_avg_unit_cost</x:v>
      </x:c>
      <x:c r="M7" s="25" t="str">
        <x:v>classification_confidence</x:v>
      </x:c>
      <x:c r="N7" s="25" t="str">
        <x:v>classification_rule</x:v>
      </x:c>
      <x:c r="O7" s="25" t="str">
        <x:v>exact_source_csv_lines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 ht="34" customHeight="1">
      <x:c r="A8" s="2" t="str">
        <x:v>EVID-01</x:v>
      </x:c>
      <x:c r="B8" s="2" t="str">
        <x:v>SITIXON 1G</x:v>
      </x:c>
      <x:c r="C8" s="2" t="str">
        <x:v>medicine</x:v>
      </x:c>
      <x:c r="D8" s="2" t="str">
        <x:v>pharmaceutical_medicine_candidate</x:v>
      </x:c>
      <x:c r="E8" s="2" t="n">
        <x:v>11</x:v>
      </x:c>
      <x:c r="F8" s="2" t="n">
        <x:v>2022</x:v>
      </x:c>
      <x:c r="G8" s="2" t="n">
        <x:v>2023</x:v>
      </x:c>
      <x:c r="H8" s="17" t="n">
        <x:v>7876</x:v>
      </x:c>
      <x:c r="I8" s="6" t="n">
        <x:v>1885664</x:v>
      </x:c>
      <x:c r="J8" s="6" t="n">
        <x:v>283536</x:v>
      </x:c>
      <x:c r="K8" s="6" t="n">
        <x:v>239.42</x:v>
      </x:c>
      <x:c r="L8" s="6" t="n">
        <x:v>36</x:v>
      </x:c>
      <x:c r="M8" s="2" t="str">
        <x:v>medium</x:v>
      </x:c>
      <x:c r="N8" s="2" t="str">
        <x:v>dosage_strength_or_form_pattern</x:v>
      </x:c>
      <x:c r="O8" s="2" t="str">
        <x:v>2022:3146; 2022:3162; 2022:3187; 2022:3369; 2022:3670; 2023:1408; 2023:1510; 2023:2130; 2023:3231; 2023:3357; 2023:3634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 ht="34" customHeight="1">
      <x:c r="A9" s="2" t="str">
        <x:v>EVID-02</x:v>
      </x:c>
      <x:c r="B9" s="2" t="str">
        <x:v>PPE COVER ALL SET</x:v>
      </x:c>
      <x:c r="C9" s="2" t="str">
        <x:v>medical_supply</x:v>
      </x:c>
      <x:c r="D9" s="2" t="str">
        <x:v>medical_consumable</x:v>
      </x:c>
      <x:c r="E9" s="2" t="n">
        <x:v>2</x:v>
      </x:c>
      <x:c r="F9" s="2" t="n">
        <x:v>2022</x:v>
      </x:c>
      <x:c r="G9" s="2" t="n">
        <x:v>2022</x:v>
      </x:c>
      <x:c r="H9" s="17" t="n">
        <x:v>1180</x:v>
      </x:c>
      <x:c r="I9" s="6" t="n">
        <x:v>1472240</x:v>
      </x:c>
      <x:c r="J9" s="6" t="n">
        <x:v>247800</x:v>
      </x:c>
      <x:c r="K9" s="6" t="n">
        <x:v>1247.66</x:v>
      </x:c>
      <x:c r="L9" s="6" t="n">
        <x:v>210</x:v>
      </x:c>
      <x:c r="M9" s="2" t="str">
        <x:v>high</x:v>
      </x:c>
      <x:c r="N9" s="2" t="str">
        <x:v>medical_supply_terms:PPE</x:v>
      </x:c>
      <x:c r="O9" s="2" t="str">
        <x:v>2022:3330; 2022:3345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 ht="34" customHeight="1">
      <x:c r="A10" s="2" t="str">
        <x:v>EVID-03</x:v>
      </x:c>
      <x:c r="B10" s="2" t="str">
        <x:v>ISOLATION GOWN</x:v>
      </x:c>
      <x:c r="C10" s="2" t="str">
        <x:v>medical_supply</x:v>
      </x:c>
      <x:c r="D10" s="2" t="str">
        <x:v>medical_consumable</x:v>
      </x:c>
      <x:c r="E10" s="2" t="n">
        <x:v>5</x:v>
      </x:c>
      <x:c r="F10" s="2" t="n">
        <x:v>2022</x:v>
      </x:c>
      <x:c r="G10" s="2" t="n">
        <x:v>2022</x:v>
      </x:c>
      <x:c r="H10" s="17" t="n">
        <x:v>1850</x:v>
      </x:c>
      <x:c r="I10" s="6" t="n">
        <x:v>1252808.6</x:v>
      </x:c>
      <x:c r="J10" s="6" t="n">
        <x:v>240500</x:v>
      </x:c>
      <x:c r="K10" s="6" t="n">
        <x:v>677.19</x:v>
      </x:c>
      <x:c r="L10" s="6" t="n">
        <x:v>130</x:v>
      </x:c>
      <x:c r="M10" s="2" t="str">
        <x:v>high</x:v>
      </x:c>
      <x:c r="N10" s="2" t="str">
        <x:v>medical_supply_terms:ISOLATION GOWN</x:v>
      </x:c>
      <x:c r="O10" s="2" t="str">
        <x:v>2022:3214; 2022:3233; 2022:3239; 2022:3245; 2022:3450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 ht="34" customHeight="1">
      <x:c r="A11" s="2" t="str">
        <x:v>EVID-04</x:v>
      </x:c>
      <x:c r="B11" s="2" t="str">
        <x:v>SHARJVAX 1500 I.U. / 0.7ML</x:v>
      </x:c>
      <x:c r="C11" s="2" t="str">
        <x:v>medicine</x:v>
      </x:c>
      <x:c r="D11" s="2" t="str">
        <x:v>pharmaceutical_medicine_candidate</x:v>
      </x:c>
      <x:c r="E11" s="2" t="n">
        <x:v>14</x:v>
      </x:c>
      <x:c r="F11" s="2" t="n">
        <x:v>2022</x:v>
      </x:c>
      <x:c r="G11" s="2" t="n">
        <x:v>2023</x:v>
      </x:c>
      <x:c r="H11" s="17" t="n">
        <x:v>738</x:v>
      </x:c>
      <x:c r="I11" s="6" t="n">
        <x:v>1110130</x:v>
      </x:c>
      <x:c r="J11" s="6" t="n">
        <x:v>765240</x:v>
      </x:c>
      <x:c r="K11" s="6" t="n">
        <x:v>1504.24</x:v>
      </x:c>
      <x:c r="L11" s="6" t="n">
        <x:v>1036.91</x:v>
      </x:c>
      <x:c r="M11" s="2" t="str">
        <x:v>medium</x:v>
      </x:c>
      <x:c r="N11" s="2" t="str">
        <x:v>dosage_strength_or_form_pattern</x:v>
      </x:c>
      <x:c r="O11" s="2" t="str">
        <x:v>2022:3063; 2022:3112; 2022:3207; 2022:3247; 2022:3947; 2023:1079; 2023:1144; 2023:1548; 2023:2121; 2023:2981; 2023:3251; 2023:3273; 2023:3740; 2023:3834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 ht="34" customHeight="1">
      <x:c r="A12" s="2" t="str">
        <x:v>EVID-05</x:v>
      </x:c>
      <x:c r="B12" s="2" t="str">
        <x:v>DOCOR 250MG VIAL</x:v>
      </x:c>
      <x:c r="C12" s="2" t="str">
        <x:v>medicine</x:v>
      </x:c>
      <x:c r="D12" s="2" t="str">
        <x:v>pharmaceutical_medicine_candidate</x:v>
      </x:c>
      <x:c r="E12" s="2" t="n">
        <x:v>3</x:v>
      </x:c>
      <x:c r="F12" s="2" t="n">
        <x:v>2022</x:v>
      </x:c>
      <x:c r="G12" s="2" t="n">
        <x:v>2023</x:v>
      </x:c>
      <x:c r="H12" s="17" t="n">
        <x:v>778</x:v>
      </x:c>
      <x:c r="I12" s="6" t="n">
        <x:v>956600</x:v>
      </x:c>
      <x:c r="J12" s="6" t="n">
        <x:v>634920</x:v>
      </x:c>
      <x:c r="K12" s="6" t="n">
        <x:v>1229.56</x:v>
      </x:c>
      <x:c r="L12" s="6" t="n">
        <x:v>816.09</x:v>
      </x:c>
      <x:c r="M12" s="2" t="str">
        <x:v>medium</x:v>
      </x:c>
      <x:c r="N12" s="2" t="str">
        <x:v>dosage_strength_or_form_pattern</x:v>
      </x:c>
      <x:c r="O12" s="2" t="str">
        <x:v>2022:4019; 2023:1320; 2023:2346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34" customHeight="1">
      <x:c r="A13" s="2" t="str">
        <x:v>EVID-06</x:v>
      </x:c>
      <x:c r="B13" s="2" t="str">
        <x:v>AEROX 500mg</x:v>
      </x:c>
      <x:c r="C13" s="2" t="str">
        <x:v>medicine</x:v>
      </x:c>
      <x:c r="D13" s="2" t="str">
        <x:v>pharmaceutical_medicine_candidate</x:v>
      </x:c>
      <x:c r="E13" s="2" t="n">
        <x:v>5</x:v>
      </x:c>
      <x:c r="F13" s="2" t="n">
        <x:v>2023</x:v>
      </x:c>
      <x:c r="G13" s="2" t="n">
        <x:v>2023</x:v>
      </x:c>
      <x:c r="H13" s="17" t="n">
        <x:v>3045</x:v>
      </x:c>
      <x:c r="I13" s="6" t="n">
        <x:v>770655</x:v>
      </x:c>
      <x:c r="J13" s="6" t="n">
        <x:v>289275</x:v>
      </x:c>
      <x:c r="K13" s="6" t="n">
        <x:v>253.09</x:v>
      </x:c>
      <x:c r="L13" s="6" t="n">
        <x:v>95</x:v>
      </x:c>
      <x:c r="M13" s="2" t="str">
        <x:v>medium</x:v>
      </x:c>
      <x:c r="N13" s="2" t="str">
        <x:v>dosage_strength_or_form_pattern</x:v>
      </x:c>
      <x:c r="O13" s="2" t="str">
        <x:v>2023:2139; 2023:2191; 2023:3044; 2023:3358; 2023:3759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34" customHeight="1">
      <x:c r="A14" s="2" t="str">
        <x:v>EVID-07</x:v>
      </x:c>
      <x:c r="B14" s="2" t="str">
        <x:v>SPEEDA 2.5IU/0.5ML</x:v>
      </x:c>
      <x:c r="C14" s="2" t="str">
        <x:v>medicine</x:v>
      </x:c>
      <x:c r="D14" s="2" t="str">
        <x:v>pharmaceutical_medicine_candidate</x:v>
      </x:c>
      <x:c r="E14" s="2" t="n">
        <x:v>1</x:v>
      </x:c>
      <x:c r="F14" s="2" t="n">
        <x:v>2024</x:v>
      </x:c>
      <x:c r="G14" s="2" t="n">
        <x:v>2024</x:v>
      </x:c>
      <x:c r="H14" s="17" t="n">
        <x:v>110</x:v>
      </x:c>
      <x:c r="I14" s="6" t="n">
        <x:v>767250</x:v>
      </x:c>
      <x:c r="J14" s="6" t="n">
        <x:v>522500</x:v>
      </x:c>
      <x:c r="K14" s="6" t="n">
        <x:v>6975</x:v>
      </x:c>
      <x:c r="L14" s="6" t="n">
        <x:v>4750</x:v>
      </x:c>
      <x:c r="M14" s="2" t="str">
        <x:v>medium</x:v>
      </x:c>
      <x:c r="N14" s="2" t="str">
        <x:v>dosage_strength_or_form_pattern</x:v>
      </x:c>
      <x:c r="O14" s="2" t="str">
        <x:v>2024:2868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34" customHeight="1">
      <x:c r="A15" s="2" t="str">
        <x:v>EVID-08</x:v>
      </x:c>
      <x:c r="B15" s="2" t="str">
        <x:v>DANOXIME 750MG</x:v>
      </x:c>
      <x:c r="C15" s="2" t="str">
        <x:v>medicine</x:v>
      </x:c>
      <x:c r="D15" s="2" t="str">
        <x:v>pharmaceutical_medicine_candidate</x:v>
      </x:c>
      <x:c r="E15" s="2" t="n">
        <x:v>6</x:v>
      </x:c>
      <x:c r="F15" s="2" t="n">
        <x:v>2022</x:v>
      </x:c>
      <x:c r="G15" s="2" t="n">
        <x:v>2023</x:v>
      </x:c>
      <x:c r="H15" s="17" t="n">
        <x:v>3445</x:v>
      </x:c>
      <x:c r="I15" s="6" t="n">
        <x:v>766680</x:v>
      </x:c>
      <x:c r="J15" s="6" t="n">
        <x:v>105072.5</x:v>
      </x:c>
      <x:c r="K15" s="6" t="n">
        <x:v>222.55</x:v>
      </x:c>
      <x:c r="L15" s="6" t="n">
        <x:v>30.5</x:v>
      </x:c>
      <x:c r="M15" s="2" t="str">
        <x:v>medium</x:v>
      </x:c>
      <x:c r="N15" s="2" t="str">
        <x:v>dosage_strength_or_form_pattern</x:v>
      </x:c>
      <x:c r="O15" s="2" t="str">
        <x:v>2022:3441; 2022:3621; 2022:3905; 2022:3913; 2023:1466; 2023:1499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34" customHeight="1">
      <x:c r="A16" s="2" t="str">
        <x:v>EVID-09</x:v>
      </x:c>
      <x:c r="B16" s="2" t="str">
        <x:v>EQUIRAB 200IU/ML (1000IU/5ML) 5ML</x:v>
      </x:c>
      <x:c r="C16" s="2" t="str">
        <x:v>medicine</x:v>
      </x:c>
      <x:c r="D16" s="2" t="str">
        <x:v>pharmaceutical_medicine_candidate</x:v>
      </x:c>
      <x:c r="E16" s="2" t="n">
        <x:v>1</x:v>
      </x:c>
      <x:c r="F16" s="2" t="n">
        <x:v>2024</x:v>
      </x:c>
      <x:c r="G16" s="2" t="n">
        <x:v>2024</x:v>
      </x:c>
      <x:c r="H16" s="17" t="n">
        <x:v>100</x:v>
      </x:c>
      <x:c r="I16" s="6" t="n">
        <x:v>219500</x:v>
      </x:c>
      <x:c r="J16" s="6" t="n">
        <x:v>170000</x:v>
      </x:c>
      <x:c r="K16" s="6" t="n">
        <x:v>2195</x:v>
      </x:c>
      <x:c r="L16" s="6" t="n">
        <x:v>1700</x:v>
      </x:c>
      <x:c r="M16" s="2" t="str">
        <x:v>medium</x:v>
      </x:c>
      <x:c r="N16" s="2" t="str">
        <x:v>dosage_strength_or_form_pattern</x:v>
      </x:c>
      <x:c r="O16" s="2" t="str">
        <x:v>2024:2869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34" customHeight="1">
      <x:c r="A17" s="2" t="str">
        <x:v>EVID-10</x:v>
      </x:c>
      <x:c r="B17" s="2" t="str">
        <x:v>AHBAY-TOX 40IU/0.5ML IM</x:v>
      </x:c>
      <x:c r="C17" s="2" t="str">
        <x:v>medicine</x:v>
      </x:c>
      <x:c r="D17" s="2" t="str">
        <x:v>pharmaceutical_medicine_candidate</x:v>
      </x:c>
      <x:c r="E17" s="2" t="n">
        <x:v>4</x:v>
      </x:c>
      <x:c r="F17" s="2" t="n">
        <x:v>2024</x:v>
      </x:c>
      <x:c r="G17" s="2" t="n">
        <x:v>2024</x:v>
      </x:c>
      <x:c r="H17" s="17" t="n">
        <x:v>249</x:v>
      </x:c>
      <x:c r="I17" s="6" t="n">
        <x:v>212272.5</x:v>
      </x:c>
      <x:c r="J17" s="6" t="n">
        <x:v>144420</x:v>
      </x:c>
      <x:c r="K17" s="6" t="n">
        <x:v>852.5</x:v>
      </x:c>
      <x:c r="L17" s="6" t="n">
        <x:v>580</x:v>
      </x:c>
      <x:c r="M17" s="2" t="str">
        <x:v>medium</x:v>
      </x:c>
      <x:c r="N17" s="2" t="str">
        <x:v>dosage_strength_or_form_pattern</x:v>
      </x:c>
      <x:c r="O17" s="2" t="str">
        <x:v>2024:2727; 2024:2734; 2024:2738; 2024:2750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34" customHeight="1">
      <x:c r="A18" s="2" t="str">
        <x:v>EVID-11</x:v>
      </x:c>
      <x:c r="B18" s="2" t="str">
        <x:v>DISPOSABLE SYRINGE 3CC - COSMED</x:v>
      </x:c>
      <x:c r="C18" s="2" t="str">
        <x:v>medical_supply</x:v>
      </x:c>
      <x:c r="D18" s="2" t="str">
        <x:v>medical_consumable</x:v>
      </x:c>
      <x:c r="E18" s="2" t="n">
        <x:v>3</x:v>
      </x:c>
      <x:c r="F18" s="2" t="n">
        <x:v>2023</x:v>
      </x:c>
      <x:c r="G18" s="2" t="n">
        <x:v>2023</x:v>
      </x:c>
      <x:c r="H18" s="17" t="n">
        <x:v>160</x:v>
      </x:c>
      <x:c r="I18" s="6" t="n">
        <x:v>162000</x:v>
      </x:c>
      <x:c r="J18" s="6" t="n">
        <x:v>40000</x:v>
      </x:c>
      <x:c r="K18" s="6" t="n">
        <x:v>1012.5</x:v>
      </x:c>
      <x:c r="L18" s="6" t="n">
        <x:v>250</x:v>
      </x:c>
      <x:c r="M18" s="2" t="str">
        <x:v>high</x:v>
      </x:c>
      <x:c r="N18" s="2" t="str">
        <x:v>medical_supply_terms:SYRINGE|DISPOSABLE</x:v>
      </x:c>
      <x:c r="O18" s="2" t="str">
        <x:v>2023:1065; 2023:1279; 2023:1376</x:v>
      </x:c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34" customHeight="1">
      <x:c r="A19" s="2" t="str">
        <x:v>EVID-12</x:v>
      </x:c>
      <x:c r="B19" s="2" t="str">
        <x:v>IV CANNULA WITH WINGS LUER LOCK G18 1.5X38MM (CATHULA)</x:v>
      </x:c>
      <x:c r="C19" s="2" t="str">
        <x:v>medical_supply</x:v>
      </x:c>
      <x:c r="D19" s="2" t="str">
        <x:v>medical_consumable</x:v>
      </x:c>
      <x:c r="E19" s="2" t="n">
        <x:v>1</x:v>
      </x:c>
      <x:c r="F19" s="2" t="n">
        <x:v>2024</x:v>
      </x:c>
      <x:c r="G19" s="2" t="n">
        <x:v>2024</x:v>
      </x:c>
      <x:c r="H19" s="17" t="n">
        <x:v>60</x:v>
      </x:c>
      <x:c r="I19" s="6" t="n">
        <x:v>202800</x:v>
      </x:c>
      <x:c r="J19" s="6" t="n">
        <x:v>132000</x:v>
      </x:c>
      <x:c r="K19" s="6" t="n">
        <x:v>3380</x:v>
      </x:c>
      <x:c r="L19" s="6" t="n">
        <x:v>2200</x:v>
      </x:c>
      <x:c r="M19" s="2" t="str">
        <x:v>high</x:v>
      </x:c>
      <x:c r="N19" s="2" t="str">
        <x:v>medical_supply_terms:CANNULA</x:v>
      </x:c>
      <x:c r="O19" s="2" t="str">
        <x:v>2024:2944</x:v>
      </x:c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</x:sheetData>
  <x:mergeCells>
    <x:mergeCell ref="A2:O2"/>
    <x:mergeCell ref="A3:O3"/>
    <x:mergeCell ref="A4:O4"/>
  </x:mergeCells>
  <x:pageMargins left="0.7" right="0.7" top="0.75" bottom="0.75" header="0.3" footer="0.3"/>
  <x:tableParts count="1">
    <x:tablePart xmlns:r="http://schemas.openxmlformats.org/officeDocument/2006/relationships" r:id="Re9f847175a274043"/>
  </x:tableParts>
</x:worksheet>
</file>

<file path=xl/worksheets/sheet4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33" hidden="0" customWidth="1"/>
    <x:col min="2" max="2" width="25" hidden="0" customWidth="1"/>
    <x:col min="3" max="3" width="25" hidden="0" customWidth="1"/>
    <x:col min="4" max="4" width="25" hidden="0" customWidth="1"/>
    <x:col min="5" max="5" width="14" hidden="0" customWidth="1"/>
  </x:cols>
  <x:sheetData>
    <x:row r="1">
      <x:c r="A1" s="2"/>
      <x:c r="B1" s="26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>
      <x:c r="A2" s="3" t="str">
        <x:v>Reconciliation and allocation method</x:v>
      </x:c>
      <x:c r="B2" s="2" t="str">
        <x:v>Reconciliation and allocation method</x:v>
      </x:c>
      <x:c r="C2" s="2" t="str">
        <x:v>Reconciliation and allocation method</x:v>
      </x:c>
      <x:c r="D2" s="2" t="str">
        <x:v>Reconciliation and allocation method</x:v>
      </x:c>
      <x:c r="E2" s="2" t="str">
        <x:v>Reconciliation and allocation method</x:v>
      </x:c>
      <x:c r="F2" s="2" t="str">
        <x:v>Reconciliation and allocation method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A3" s="15" t="str">
        <x:v>The selected 12-product Government medical basket has a historical cost ratio almost identical to the Pagbilao parent, so only proportional scaling is required.</x:v>
      </x:c>
      <x:c r="B3" s="2" t="str">
        <x:v>The selected 12-product Government medical basket has a historical cost ratio almost identical to the Pagbilao parent, so only proportional scaling is required.</x:v>
      </x:c>
      <x:c r="C3" s="2" t="str">
        <x:v>The selected 12-product Government medical basket has a historical cost ratio almost identical to the Pagbilao parent, so only proportional scaling is required.</x:v>
      </x:c>
      <x:c r="D3" s="2" t="str">
        <x:v>The selected 12-product Government medical basket has a historical cost ratio almost identical to the Pagbilao parent, so only proportional scaling is required.</x:v>
      </x:c>
      <x:c r="E3" s="2" t="str">
        <x:v>The selected 12-product Government medical basket has a historical cost ratio almost identical to the Pagbilao parent, so only proportional scaling is required.</x:v>
      </x:c>
      <x:c r="F3" s="2" t="str">
        <x:v>The selected 12-product Government medical basket has a historical cost ratio almost identical to the Pagbilao parent, so only proportional scaling is required.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A6" s="25" t="str">
        <x:v>metric</x:v>
      </x:c>
      <x:c r="B6" s="25" t="str">
        <x:v>parent_value</x:v>
      </x:c>
      <x:c r="C6" s="25" t="str">
        <x:v>estimated_children</x:v>
      </x:c>
      <x:c r="D6" s="25" t="str">
        <x:v>delta</x:v>
      </x:c>
      <x:c r="E6" s="25" t="str">
        <x:v>status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A7" s="2" t="str">
        <x:v>Net sales</x:v>
      </x:c>
      <x:c r="B7" s="6" t="n">
        <x:v>11567580</x:v>
      </x:c>
      <x:c r="C7" s="6" t="n">
        <x:f>ROUND(SUM('Medical Allocation'!U9:U20),2)</x:f>
        <x:v>11567580</x:v>
      </x:c>
      <x:c r="D7" s="6" t="n">
        <x:f>ROUND(C7-B7,2)</x:f>
        <x:v>0</x:v>
      </x:c>
      <x:c r="E7" s="2" t="str">
        <x:f>IF(ABS(D7)&lt;=0.01,"PASS","FAIL")</x:f>
        <x:v>PASS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>
      <x:c r="A8" s="2" t="str">
        <x:v>Acquisition cost</x:v>
      </x:c>
      <x:c r="B8" s="6" t="n">
        <x:v>4229349.44</x:v>
      </x:c>
      <x:c r="C8" s="6" t="n">
        <x:f>ROUND(SUM('Medical Allocation'!X9:X20),2)</x:f>
        <x:v>4229349.44</x:v>
      </x:c>
      <x:c r="D8" s="6" t="n">
        <x:f>ROUND(C8-B8,2)</x:f>
        <x:v>0</x:v>
      </x:c>
      <x:c r="E8" s="2" t="str">
        <x:f>IF(ABS(D8)&lt;=0.01,"PASS","FAIL")</x:f>
        <x:v>PASS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A9" s="2" t="str">
        <x:v>Gross profit</x:v>
      </x:c>
      <x:c r="B9" s="6" t="n">
        <x:v>7338230.56</x:v>
      </x:c>
      <x:c r="C9" s="6" t="n">
        <x:f>ROUND(SUM('Medical Allocation'!Y9:Y20),2)</x:f>
        <x:v>7338230.56</x:v>
      </x:c>
      <x:c r="D9" s="6" t="n">
        <x:f>ROUND(C9-B9,2)</x:f>
        <x:v>0</x:v>
      </x:c>
      <x:c r="E9" s="2" t="str">
        <x:f>IF(ABS(D9)&lt;=0.01,"PASS","FAIL")</x:f>
        <x:v>PASS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A12" s="25" t="str">
        <x:v>method input</x:v>
      </x:c>
      <x:c r="B12" s="25" t="str">
        <x:v>value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 ht="34" customHeight="1">
      <x:c r="A13" s="2" t="str">
        <x:v>Eligible product scope</x:v>
      </x:c>
      <x:c r="B13" s="2" t="str">
        <x:v>Only medicine and medical_supply products observed in Government sales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 ht="34" customHeight="1">
      <x:c r="A14" s="2" t="str">
        <x:v>Historical observation window</x:v>
      </x:c>
      <x:c r="B14" s="2" t="str">
        <x:v>2022–2024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 ht="34" customHeight="1">
      <x:c r="A15" s="2" t="str">
        <x:v>Selected historical basket net sales</x:v>
      </x:c>
      <x:c r="B15" s="6" t="n">
        <x:v>9778600.1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 ht="34" customHeight="1">
      <x:c r="A16" s="2" t="str">
        <x:v>Selected historical basket acquisition cost</x:v>
      </x:c>
      <x:c r="B16" s="6" t="n">
        <x:v>3575263.5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 ht="34" customHeight="1">
      <x:c r="A17" s="2" t="str">
        <x:v>Historical basket cost ratio</x:v>
      </x:c>
      <x:c r="B17" s="18" t="n">
        <x:v>0.3656211997052625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 ht="34" customHeight="1">
      <x:c r="A18" s="2" t="str">
        <x:v>Pagbilao parent cost ratio</x:v>
      </x:c>
      <x:c r="B18" s="18" t="n">
        <x:v>0.365620937136376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 ht="34" customHeight="1">
      <x:c r="A19" s="2" t="str">
        <x:v>Net-sales scaling factor</x:v>
      </x:c>
      <x:c r="B19" s="19" t="n">
        <x:v>1.1829484672351005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34" customHeight="1">
      <x:c r="A20" s="2" t="str">
        <x:v>Acquisition-cost scaling factor</x:v>
      </x:c>
      <x:c r="B20" s="19" t="n">
        <x:v>1.1829476177070586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3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34" customHeight="1">
      <x:c r="A22" s="20" t="str">
        <x:v>Interpretation rule</x:v>
      </x:c>
      <x:c r="B22" s="20" t="str">
        <x:v>Product identities are real MedShield medical products; their assignment to this Pagbilao parent remains an estimated allocation until the original itemized document is recovered.</x:v>
      </x:c>
      <x:c r="C22" s="20"/>
      <x:c r="D22" s="20"/>
      <x:c r="E22" s="20"/>
      <x:c r="F22" s="20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</x:sheetData>
  <x:mergeCells>
    <x:mergeCell ref="A2:F2"/>
    <x:mergeCell ref="A3:F3"/>
    <x:mergeCell ref="B22:F22"/>
  </x:mergeCells>
  <x:conditionalFormatting sqref="E7:E9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9d8c7ac86fa04744"/>
  </x:tableParts>
</x:worksheet>
</file>